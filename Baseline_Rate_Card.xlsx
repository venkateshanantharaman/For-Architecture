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5DC55538-56A7-4DFF-B676-2966E57FBD7C}" xr6:coauthVersionLast="47" xr6:coauthVersionMax="47" xr10:uidLastSave="{00000000-0000-0000-0000-000000000000}"/>
  <bookViews>
    <workbookView xWindow="-120" yWindow="-120" windowWidth="29040" windowHeight="15840" tabRatio="673" xr2:uid="{00000000-000D-0000-FFFF-FFFF00000000}"/>
  </bookViews>
  <sheets>
    <sheet name="Baseline Rate Card" sheetId="1" r:id="rId1"/>
    <sheet name="Experience Multiplier" sheetId="2" r:id="rId2"/>
    <sheet name="Location Multiplier" sheetId="3" r:id="rId3"/>
    <sheet name="Currency Exchange" sheetId="5" r:id="rId4"/>
    <sheet name="Monthly Rate Card" sheetId="6" r:id="rId5"/>
    <sheet name="Price List Multiplier" sheetId="8" r:id="rId6"/>
    <sheet name="Blended Ra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6" i="6"/>
  <c r="B5" i="6"/>
  <c r="B4" i="6"/>
  <c r="B13" i="6"/>
  <c r="B12" i="6"/>
  <c r="B11" i="6"/>
  <c r="B10" i="6"/>
  <c r="B9" i="6"/>
  <c r="B8" i="6"/>
  <c r="B7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</calcChain>
</file>

<file path=xl/sharedStrings.xml><?xml version="1.0" encoding="utf-8"?>
<sst xmlns="http://schemas.openxmlformats.org/spreadsheetml/2006/main" count="302" uniqueCount="182">
  <si>
    <t>Service</t>
  </si>
  <si>
    <t>Baseline USD/hour</t>
  </si>
  <si>
    <t>Notes</t>
  </si>
  <si>
    <t>API Integration</t>
  </si>
  <si>
    <t>Mid-level benchmark based on industry averages</t>
  </si>
  <si>
    <t>Automation Tester</t>
  </si>
  <si>
    <t>Back-end Developer</t>
  </si>
  <si>
    <t>Business Analyst</t>
  </si>
  <si>
    <t>Customer Analytics</t>
  </si>
  <si>
    <t>Customer Journey Analytics</t>
  </si>
  <si>
    <t>Customer LTV Analytics</t>
  </si>
  <si>
    <t>DBA</t>
  </si>
  <si>
    <t>Data Analyst</t>
  </si>
  <si>
    <t>Data Analytics / Visualization</t>
  </si>
  <si>
    <t>Data Engineering</t>
  </si>
  <si>
    <t>Data Migration</t>
  </si>
  <si>
    <t>Data Science</t>
  </si>
  <si>
    <t>DevOps Engineer</t>
  </si>
  <si>
    <t>Dynamics 365 Consulting</t>
  </si>
  <si>
    <t>Dynamics 365 Development</t>
  </si>
  <si>
    <t>Fraud Analytics</t>
  </si>
  <si>
    <t>Front-end Developer</t>
  </si>
  <si>
    <t>Functional Tester</t>
  </si>
  <si>
    <t>HR Analytics</t>
  </si>
  <si>
    <t>Java Developer</t>
  </si>
  <si>
    <t>Market Basket Analytics</t>
  </si>
  <si>
    <t>Marketing Analytics</t>
  </si>
  <si>
    <t>Microservices Developer</t>
  </si>
  <si>
    <t>Non-Functional Testing</t>
  </si>
  <si>
    <t>PowerApps Design &amp; Implementation</t>
  </si>
  <si>
    <t>Product Analytics</t>
  </si>
  <si>
    <t>Python Developer</t>
  </si>
  <si>
    <t>Quality Assurance Services</t>
  </si>
  <si>
    <t>Real-time Customer Onboarding Solutions</t>
  </si>
  <si>
    <t>Real-time Employee Onboarding Solutions</t>
  </si>
  <si>
    <t>Revenue Growth Management</t>
  </si>
  <si>
    <t>Risk Analysis / Mitigation</t>
  </si>
  <si>
    <t>SAP Consulting</t>
  </si>
  <si>
    <t>SAP Development</t>
  </si>
  <si>
    <t>Scrum Master</t>
  </si>
  <si>
    <t>Supply Chain Analytics</t>
  </si>
  <si>
    <t>Experience Level</t>
  </si>
  <si>
    <t>Rate Card</t>
  </si>
  <si>
    <t>Experience Muliplier 1</t>
  </si>
  <si>
    <t>Junior</t>
  </si>
  <si>
    <t>Mid</t>
  </si>
  <si>
    <t>Senior</t>
  </si>
  <si>
    <t>Experience Muliplier 2</t>
  </si>
  <si>
    <t>Experience Muliplier 3</t>
  </si>
  <si>
    <t>Experience Muliplier Name</t>
  </si>
  <si>
    <t>Experience Muliplier ID</t>
  </si>
  <si>
    <t>Location Muliplier ID</t>
  </si>
  <si>
    <t>Location Muliplier Name</t>
  </si>
  <si>
    <t>Location Muliplier 1</t>
  </si>
  <si>
    <t>Location Muliplier 2</t>
  </si>
  <si>
    <t>Location Muliplier 3</t>
  </si>
  <si>
    <t>Location</t>
  </si>
  <si>
    <t>India Offshore</t>
  </si>
  <si>
    <t>India Onsite</t>
  </si>
  <si>
    <t>Currency</t>
  </si>
  <si>
    <t>Conversion Rate (per 1 USD)</t>
  </si>
  <si>
    <t>USD</t>
  </si>
  <si>
    <t>INR</t>
  </si>
  <si>
    <t>SAR</t>
  </si>
  <si>
    <t>AED</t>
  </si>
  <si>
    <t>GBP</t>
  </si>
  <si>
    <t>EUR</t>
  </si>
  <si>
    <t>AUD</t>
  </si>
  <si>
    <t>NZD</t>
  </si>
  <si>
    <t>SGD</t>
  </si>
  <si>
    <t>MXN</t>
  </si>
  <si>
    <t>ZAR</t>
  </si>
  <si>
    <t>MYR</t>
  </si>
  <si>
    <t>CAD</t>
  </si>
  <si>
    <t>CNY</t>
  </si>
  <si>
    <t>BRL</t>
  </si>
  <si>
    <t>JPY</t>
  </si>
  <si>
    <t>ARS</t>
  </si>
  <si>
    <t>Month</t>
  </si>
  <si>
    <t>Exchange Conversion ID</t>
  </si>
  <si>
    <t>Service ID</t>
  </si>
  <si>
    <t>Baseline - 1</t>
  </si>
  <si>
    <t>Baseline - 2</t>
  </si>
  <si>
    <t>Baseline - 3</t>
  </si>
  <si>
    <t>Baseline - 4</t>
  </si>
  <si>
    <t>Baseline - 5</t>
  </si>
  <si>
    <t>Baseline - 6</t>
  </si>
  <si>
    <t>Baseline - 7</t>
  </si>
  <si>
    <t>Baseline - 8</t>
  </si>
  <si>
    <t>Baseline - 9</t>
  </si>
  <si>
    <t>Baseline - 10</t>
  </si>
  <si>
    <t>Baseline - 11</t>
  </si>
  <si>
    <t>Baseline - 12</t>
  </si>
  <si>
    <t>Baseline - 13</t>
  </si>
  <si>
    <t>Baseline - 14</t>
  </si>
  <si>
    <t>Baseline - 15</t>
  </si>
  <si>
    <t>Baseline - 16</t>
  </si>
  <si>
    <t>Baseline - 17</t>
  </si>
  <si>
    <t>Baseline - 18</t>
  </si>
  <si>
    <t>Baseline - 19</t>
  </si>
  <si>
    <t>Baseline - 20</t>
  </si>
  <si>
    <t>Baseline - 21</t>
  </si>
  <si>
    <t>Baseline - 22</t>
  </si>
  <si>
    <t>Baseline - 23</t>
  </si>
  <si>
    <t>Baseline - 24</t>
  </si>
  <si>
    <t>Baseline - 25</t>
  </si>
  <si>
    <t>Baseline - 26</t>
  </si>
  <si>
    <t>Baseline - 27</t>
  </si>
  <si>
    <t>Baseline - 28</t>
  </si>
  <si>
    <t>Baseline - 29</t>
  </si>
  <si>
    <t>Baseline - 30</t>
  </si>
  <si>
    <t>Baseline - 31</t>
  </si>
  <si>
    <t>Baseline - 32</t>
  </si>
  <si>
    <t>Baseline - 33</t>
  </si>
  <si>
    <t>Baseline - 34</t>
  </si>
  <si>
    <t>Baseline - 35</t>
  </si>
  <si>
    <t>Baseline - 36</t>
  </si>
  <si>
    <t>Baseline - 37</t>
  </si>
  <si>
    <t>Type of Rate Card</t>
  </si>
  <si>
    <t>Hour</t>
  </si>
  <si>
    <t>Daily</t>
  </si>
  <si>
    <t>Sprint wise 1</t>
  </si>
  <si>
    <t>Sprint wise 2</t>
  </si>
  <si>
    <t>Sprint wise 3</t>
  </si>
  <si>
    <t>Milestone Based 1</t>
  </si>
  <si>
    <t>Milestone Based 2</t>
  </si>
  <si>
    <t>Milestone Based 3</t>
  </si>
  <si>
    <t>Conversion</t>
  </si>
  <si>
    <t>Monthly 1</t>
  </si>
  <si>
    <t>Monthly 2</t>
  </si>
  <si>
    <t>Monthly 3</t>
  </si>
  <si>
    <t>Sprint wise 4</t>
  </si>
  <si>
    <t>Sprint wise 5</t>
  </si>
  <si>
    <t>Sprint wise 6</t>
  </si>
  <si>
    <t>Rates mentioned in hours, for a day its 8 Hours</t>
  </si>
  <si>
    <t>Currency rates are as of 28th Nov 2025</t>
  </si>
  <si>
    <t>Experience Level Multiplier from Baseline Rate</t>
  </si>
  <si>
    <t>Location wise multiplier is used to derived the final rates based on baseline rate card</t>
  </si>
  <si>
    <t>Type of Companies</t>
  </si>
  <si>
    <t>Standard Rate</t>
  </si>
  <si>
    <t>Small Business</t>
  </si>
  <si>
    <t>Medium Business</t>
  </si>
  <si>
    <t>Enterprise Business</t>
  </si>
  <si>
    <t>Large MNCs</t>
  </si>
  <si>
    <t>Typical projects, moderate governance, standard SLAs</t>
  </si>
  <si>
    <t>Price-sensitive, smaller scope, lighter compliance</t>
  </si>
  <si>
    <t>Growing needs, some compliance &amp; reporting, occasional onsite</t>
  </si>
  <si>
    <t>Complex integration, strict governance/compliance, higher SLA commitments</t>
  </si>
  <si>
    <t>Multi-region, 24×7 support, security audits, global templates, heavier PMO &amp; vendor management</t>
  </si>
  <si>
    <t>ID</t>
  </si>
  <si>
    <t>PL1</t>
  </si>
  <si>
    <t>PL2</t>
  </si>
  <si>
    <t>PL3</t>
  </si>
  <si>
    <t>PL4</t>
  </si>
  <si>
    <t>PL5</t>
  </si>
  <si>
    <t>Type of Role</t>
  </si>
  <si>
    <t>BRJ1</t>
  </si>
  <si>
    <t>BRM2</t>
  </si>
  <si>
    <t>BRS3</t>
  </si>
  <si>
    <t>Blended Rate Mix, if Blended Rate card provided</t>
  </si>
  <si>
    <t>PL6</t>
  </si>
  <si>
    <t>Default Rate</t>
  </si>
  <si>
    <t>Default Rate uses for leads time when revenue is not known</t>
  </si>
  <si>
    <t>EMJ 1</t>
  </si>
  <si>
    <t>EMM 1</t>
  </si>
  <si>
    <t>EMS 1</t>
  </si>
  <si>
    <t>EMJ 2</t>
  </si>
  <si>
    <t>EMM 2</t>
  </si>
  <si>
    <t>EMS 2</t>
  </si>
  <si>
    <t>EMJ 3</t>
  </si>
  <si>
    <t>EMM 3</t>
  </si>
  <si>
    <t>EMS 3</t>
  </si>
  <si>
    <t>LMIOF 1</t>
  </si>
  <si>
    <t>LMION 1</t>
  </si>
  <si>
    <t>Overseas Onsite</t>
  </si>
  <si>
    <t>LMOON 1</t>
  </si>
  <si>
    <t>LMIOF 2</t>
  </si>
  <si>
    <t>LMION 2</t>
  </si>
  <si>
    <t>LMOON 2</t>
  </si>
  <si>
    <t>LMIOF 3</t>
  </si>
  <si>
    <t>LMION 3</t>
  </si>
  <si>
    <t>LMOON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</si>
</sst>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14" fontId="0" fillId="0" borderId="0" xfId="0" applyNumberFormat="1"/>
    <xf numFmtId="2" fontId="0" fillId="3" borderId="5" xfId="0" applyNumberFormat="1" applyFont="1" applyFill="1" applyBorder="1"/>
    <xf numFmtId="2" fontId="0" fillId="4" borderId="5" xfId="0" applyNumberFormat="1" applyFont="1" applyFill="1" applyBorder="1"/>
    <xf numFmtId="2" fontId="0" fillId="3" borderId="8" xfId="0" applyNumberFormat="1" applyFont="1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Rates" displayName="BaselineRates" ref="A1:D38">
  <autoFilter ref="A1:D38" xr:uid="{00000000-0009-0000-0100-000001000000}"/>
  <tableColumns count="4">
    <tableColumn id="4" xr3:uid="{642F9071-E21E-4F59-80DF-071C538637D4}" name="Service ID" dataDxfId="7"/>
    <tableColumn id="1" xr3:uid="{00000000-0010-0000-0000-000001000000}" name="Service"/>
    <tableColumn id="2" xr3:uid="{00000000-0010-0000-0000-000002000000}" name="Baseline USD/hour"/>
    <tableColumn id="3" xr3:uid="{00000000-0010-0000-0000-000003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E06DB-1637-4C48-AB9A-879AA3037942}" name="Table2" displayName="Table2" ref="A1:E10" totalsRowShown="0">
  <autoFilter ref="A1:E10" xr:uid="{EA6E06DB-1637-4C48-AB9A-879AA3037942}"/>
  <tableColumns count="5">
    <tableColumn id="4" xr3:uid="{96512C84-2B05-43C1-A2B8-23FB9D6E583A}" name="Experience Muliplier ID"/>
    <tableColumn id="1" xr3:uid="{5C7FD6C2-C4CA-4D89-A304-8C40BBDA1556}" name="Experience Muliplier Name"/>
    <tableColumn id="2" xr3:uid="{E27EE8BF-239E-4F90-8B3F-7FBDD7B5859E}" name="Experience Level"/>
    <tableColumn id="3" xr3:uid="{B3397012-8372-486F-A759-CCD30A2B1AE8}" name="Rate Card"/>
    <tableColumn id="5" xr3:uid="{E8ACDAFF-6CF8-4DC0-99AF-EFA183450F9A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A7A2D0-4D01-4967-8D3F-D6201D7F949A}" name="Table24" displayName="Table24" ref="A1:E10" totalsRowShown="0">
  <autoFilter ref="A1:E10" xr:uid="{B9A7A2D0-4D01-4967-8D3F-D6201D7F949A}"/>
  <tableColumns count="5">
    <tableColumn id="4" xr3:uid="{4617E610-C61D-4269-821C-221B71940B5D}" name="Location Muliplier ID"/>
    <tableColumn id="1" xr3:uid="{46CED788-A4BE-4C5A-B580-70E0F7F5069F}" name="Location Muliplier Name"/>
    <tableColumn id="2" xr3:uid="{64493BC9-B7BF-4E71-B905-88837D540BDC}" name="Location"/>
    <tableColumn id="3" xr3:uid="{BC986EE5-C985-4242-8879-EAD51FCD8290}" name="Rate Card"/>
    <tableColumn id="5" xr3:uid="{0BAAA5C3-CE9F-4445-A42D-E754C7BE4DD1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A709E5-A295-4A77-A3A2-28AC4185EC03}" name="FXRates" displayName="FXRates" ref="A1:E18">
  <autoFilter ref="A1:E18" xr:uid="{C3A709E5-A295-4A77-A3A2-28AC4185EC03}"/>
  <tableColumns count="5">
    <tableColumn id="4" xr3:uid="{CA4E9DBF-5F78-4441-B49E-28970A85F3C0}" name="Exchange Conversion ID" dataDxfId="8">
      <calculatedColumnFormula>CONCATENATE("Nov-25"," ",FXRates[[#This Row],[Currency]])</calculatedColumnFormula>
    </tableColumn>
    <tableColumn id="3" xr3:uid="{5F3CDB04-7CE9-44FA-8B91-7F87D372DDB1}" name="Month" dataDxfId="9"/>
    <tableColumn id="1" xr3:uid="{2001CC0D-E7D8-419E-815A-A67C5CDDBF61}" name="Currency"/>
    <tableColumn id="2" xr3:uid="{18B17730-1BAC-4EC4-9E00-DE9B8685E36D}" name="Conversion Rate (per 1 USD)"/>
    <tableColumn id="5" xr3:uid="{F6A03FB1-F5AD-4239-9759-315AFDF2A6B2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CC1CDC-985D-4DD4-BEE0-E490AA246750}" name="Table6" displayName="Table6" ref="A1:C15" totalsRowShown="0">
  <autoFilter ref="A1:C15" xr:uid="{09CC1CDC-985D-4DD4-BEE0-E490AA246750}"/>
  <tableColumns count="3">
    <tableColumn id="1" xr3:uid="{70E3B1C4-6EAE-4F54-84E1-2F7092B0BD29}" name="Type of Rate Card"/>
    <tableColumn id="2" xr3:uid="{C28471DE-F197-4F35-8527-3EDD87E07CEA}" name="Conversion"/>
    <tableColumn id="3" xr3:uid="{60D2823E-24EF-43C2-B4C6-018A5B5BA00B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305BC8-45B6-4BE6-BBDB-83AF49184605}" name="Table7" displayName="Table7" ref="A1:D7" totalsRowShown="0" headerRowDxfId="5" headerRowBorderDxfId="6">
  <autoFilter ref="A1:D7" xr:uid="{49305BC8-45B6-4BE6-BBDB-83AF49184605}"/>
  <tableColumns count="4">
    <tableColumn id="4" xr3:uid="{9FDA9782-0E29-4E31-B755-70D841F246A7}" name="ID"/>
    <tableColumn id="1" xr3:uid="{C2051F7C-678C-45CD-A702-A4F8A8252327}" name="Type of Companies"/>
    <tableColumn id="2" xr3:uid="{01CA3886-EE46-4FAB-AC08-001A6EEFA411}" name="Conversion"/>
    <tableColumn id="3" xr3:uid="{1532907A-5320-4A0C-BC16-1B0C9C39797E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9FAE5E-B372-4949-883F-82EACF849672}" name="Table8" displayName="Table8" ref="A1:D4" totalsRowShown="0" headerRowDxfId="0" headerRowBorderDxfId="3" tableBorderDxfId="4" totalsRowBorderDxfId="2">
  <autoFilter ref="A1:D4" xr:uid="{EE9FAE5E-B372-4949-883F-82EACF849672}"/>
  <tableColumns count="4">
    <tableColumn id="1" xr3:uid="{91C6998D-A934-4FD2-84C3-FC97966B8343}" name="ID"/>
    <tableColumn id="2" xr3:uid="{7D577F07-2097-42BE-A4A4-1B8BA7DE2DFF}" name="Type of Role"/>
    <tableColumn id="3" xr3:uid="{97431716-01A4-48DE-9155-476FF36F47E8}" name="Conversion"/>
    <tableColumn id="4" xr3:uid="{6E567B7E-C2B1-442D-8BB7-391C36F47EA5}" name="Not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E19" sqref="E19"/>
    </sheetView>
  </sheetViews>
  <sheetFormatPr defaultRowHeight="15" x14ac:dyDescent="0.25"/>
  <cols>
    <col min="1" max="1" width="12" bestFit="1" customWidth="1"/>
    <col min="2" max="2" width="39.5703125" bestFit="1" customWidth="1"/>
    <col min="3" max="3" width="20.28515625" bestFit="1" customWidth="1"/>
    <col min="4" max="4" width="45.42578125" bestFit="1" customWidth="1"/>
  </cols>
  <sheetData>
    <row r="1" spans="1:4" x14ac:dyDescent="0.25">
      <c r="A1" t="s">
        <v>80</v>
      </c>
      <c r="B1" t="s">
        <v>0</v>
      </c>
      <c r="C1" t="s">
        <v>1</v>
      </c>
      <c r="D1" t="s">
        <v>2</v>
      </c>
    </row>
    <row r="2" spans="1:4" x14ac:dyDescent="0.25">
      <c r="A2" t="s">
        <v>81</v>
      </c>
      <c r="B2" t="s">
        <v>3</v>
      </c>
      <c r="C2">
        <v>110</v>
      </c>
      <c r="D2" t="s">
        <v>4</v>
      </c>
    </row>
    <row r="3" spans="1:4" x14ac:dyDescent="0.25">
      <c r="A3" t="s">
        <v>82</v>
      </c>
      <c r="B3" t="s">
        <v>5</v>
      </c>
      <c r="C3">
        <v>95</v>
      </c>
      <c r="D3" t="s">
        <v>4</v>
      </c>
    </row>
    <row r="4" spans="1:4" x14ac:dyDescent="0.25">
      <c r="A4" t="s">
        <v>83</v>
      </c>
      <c r="B4" t="s">
        <v>6</v>
      </c>
      <c r="C4">
        <v>105</v>
      </c>
      <c r="D4" t="s">
        <v>4</v>
      </c>
    </row>
    <row r="5" spans="1:4" x14ac:dyDescent="0.25">
      <c r="A5" t="s">
        <v>84</v>
      </c>
      <c r="B5" t="s">
        <v>7</v>
      </c>
      <c r="C5">
        <v>90</v>
      </c>
      <c r="D5" t="s">
        <v>4</v>
      </c>
    </row>
    <row r="6" spans="1:4" x14ac:dyDescent="0.25">
      <c r="A6" t="s">
        <v>85</v>
      </c>
      <c r="B6" t="s">
        <v>8</v>
      </c>
      <c r="C6">
        <v>130</v>
      </c>
      <c r="D6" t="s">
        <v>4</v>
      </c>
    </row>
    <row r="7" spans="1:4" x14ac:dyDescent="0.25">
      <c r="A7" t="s">
        <v>86</v>
      </c>
      <c r="B7" t="s">
        <v>9</v>
      </c>
      <c r="C7">
        <v>140</v>
      </c>
      <c r="D7" t="s">
        <v>4</v>
      </c>
    </row>
    <row r="8" spans="1:4" x14ac:dyDescent="0.25">
      <c r="A8" t="s">
        <v>87</v>
      </c>
      <c r="B8" t="s">
        <v>10</v>
      </c>
      <c r="C8">
        <v>140</v>
      </c>
      <c r="D8" t="s">
        <v>4</v>
      </c>
    </row>
    <row r="9" spans="1:4" x14ac:dyDescent="0.25">
      <c r="A9" t="s">
        <v>88</v>
      </c>
      <c r="B9" t="s">
        <v>11</v>
      </c>
      <c r="C9">
        <v>110</v>
      </c>
      <c r="D9" t="s">
        <v>4</v>
      </c>
    </row>
    <row r="10" spans="1:4" x14ac:dyDescent="0.25">
      <c r="A10" t="s">
        <v>89</v>
      </c>
      <c r="B10" t="s">
        <v>12</v>
      </c>
      <c r="C10">
        <v>95</v>
      </c>
      <c r="D10" t="s">
        <v>4</v>
      </c>
    </row>
    <row r="11" spans="1:4" x14ac:dyDescent="0.25">
      <c r="A11" t="s">
        <v>90</v>
      </c>
      <c r="B11" t="s">
        <v>13</v>
      </c>
      <c r="C11">
        <v>110</v>
      </c>
      <c r="D11" t="s">
        <v>4</v>
      </c>
    </row>
    <row r="12" spans="1:4" x14ac:dyDescent="0.25">
      <c r="A12" t="s">
        <v>91</v>
      </c>
      <c r="B12" t="s">
        <v>14</v>
      </c>
      <c r="C12">
        <v>120</v>
      </c>
      <c r="D12" t="s">
        <v>4</v>
      </c>
    </row>
    <row r="13" spans="1:4" x14ac:dyDescent="0.25">
      <c r="A13" t="s">
        <v>92</v>
      </c>
      <c r="B13" t="s">
        <v>15</v>
      </c>
      <c r="C13">
        <v>90</v>
      </c>
      <c r="D13" t="s">
        <v>4</v>
      </c>
    </row>
    <row r="14" spans="1:4" x14ac:dyDescent="0.25">
      <c r="A14" t="s">
        <v>93</v>
      </c>
      <c r="B14" t="s">
        <v>16</v>
      </c>
      <c r="C14">
        <v>150</v>
      </c>
      <c r="D14" t="s">
        <v>4</v>
      </c>
    </row>
    <row r="15" spans="1:4" x14ac:dyDescent="0.25">
      <c r="A15" t="s">
        <v>94</v>
      </c>
      <c r="B15" t="s">
        <v>17</v>
      </c>
      <c r="C15">
        <v>120</v>
      </c>
      <c r="D15" t="s">
        <v>4</v>
      </c>
    </row>
    <row r="16" spans="1:4" x14ac:dyDescent="0.25">
      <c r="A16" t="s">
        <v>95</v>
      </c>
      <c r="B16" t="s">
        <v>18</v>
      </c>
      <c r="C16">
        <v>140</v>
      </c>
      <c r="D16" t="s">
        <v>4</v>
      </c>
    </row>
    <row r="17" spans="1:4" x14ac:dyDescent="0.25">
      <c r="A17" t="s">
        <v>96</v>
      </c>
      <c r="B17" t="s">
        <v>19</v>
      </c>
      <c r="C17">
        <v>110</v>
      </c>
      <c r="D17" t="s">
        <v>4</v>
      </c>
    </row>
    <row r="18" spans="1:4" x14ac:dyDescent="0.25">
      <c r="A18" t="s">
        <v>97</v>
      </c>
      <c r="B18" t="s">
        <v>20</v>
      </c>
      <c r="C18">
        <v>160</v>
      </c>
      <c r="D18" t="s">
        <v>4</v>
      </c>
    </row>
    <row r="19" spans="1:4" x14ac:dyDescent="0.25">
      <c r="A19" t="s">
        <v>98</v>
      </c>
      <c r="B19" t="s">
        <v>21</v>
      </c>
      <c r="C19">
        <v>95</v>
      </c>
      <c r="D19" t="s">
        <v>4</v>
      </c>
    </row>
    <row r="20" spans="1:4" x14ac:dyDescent="0.25">
      <c r="A20" t="s">
        <v>99</v>
      </c>
      <c r="B20" t="s">
        <v>22</v>
      </c>
      <c r="C20">
        <v>85</v>
      </c>
      <c r="D20" t="s">
        <v>4</v>
      </c>
    </row>
    <row r="21" spans="1:4" x14ac:dyDescent="0.25">
      <c r="A21" t="s">
        <v>100</v>
      </c>
      <c r="B21" t="s">
        <v>23</v>
      </c>
      <c r="C21">
        <v>120</v>
      </c>
      <c r="D21" t="s">
        <v>4</v>
      </c>
    </row>
    <row r="22" spans="1:4" x14ac:dyDescent="0.25">
      <c r="A22" t="s">
        <v>101</v>
      </c>
      <c r="B22" t="s">
        <v>24</v>
      </c>
      <c r="C22">
        <v>100</v>
      </c>
      <c r="D22" t="s">
        <v>4</v>
      </c>
    </row>
    <row r="23" spans="1:4" x14ac:dyDescent="0.25">
      <c r="A23" t="s">
        <v>102</v>
      </c>
      <c r="B23" t="s">
        <v>25</v>
      </c>
      <c r="C23">
        <v>140</v>
      </c>
      <c r="D23" t="s">
        <v>4</v>
      </c>
    </row>
    <row r="24" spans="1:4" x14ac:dyDescent="0.25">
      <c r="A24" t="s">
        <v>103</v>
      </c>
      <c r="B24" t="s">
        <v>26</v>
      </c>
      <c r="C24">
        <v>130</v>
      </c>
      <c r="D24" t="s">
        <v>4</v>
      </c>
    </row>
    <row r="25" spans="1:4" x14ac:dyDescent="0.25">
      <c r="A25" t="s">
        <v>104</v>
      </c>
      <c r="B25" t="s">
        <v>27</v>
      </c>
      <c r="C25">
        <v>110</v>
      </c>
      <c r="D25" t="s">
        <v>4</v>
      </c>
    </row>
    <row r="26" spans="1:4" x14ac:dyDescent="0.25">
      <c r="A26" t="s">
        <v>105</v>
      </c>
      <c r="B26" t="s">
        <v>28</v>
      </c>
      <c r="C26">
        <v>100</v>
      </c>
      <c r="D26" t="s">
        <v>4</v>
      </c>
    </row>
    <row r="27" spans="1:4" x14ac:dyDescent="0.25">
      <c r="A27" t="s">
        <v>106</v>
      </c>
      <c r="B27" t="s">
        <v>29</v>
      </c>
      <c r="C27">
        <v>100</v>
      </c>
      <c r="D27" t="s">
        <v>4</v>
      </c>
    </row>
    <row r="28" spans="1:4" x14ac:dyDescent="0.25">
      <c r="A28" t="s">
        <v>107</v>
      </c>
      <c r="B28" t="s">
        <v>30</v>
      </c>
      <c r="C28">
        <v>130</v>
      </c>
      <c r="D28" t="s">
        <v>4</v>
      </c>
    </row>
    <row r="29" spans="1:4" x14ac:dyDescent="0.25">
      <c r="A29" t="s">
        <v>108</v>
      </c>
      <c r="B29" t="s">
        <v>31</v>
      </c>
      <c r="C29">
        <v>105</v>
      </c>
      <c r="D29" t="s">
        <v>4</v>
      </c>
    </row>
    <row r="30" spans="1:4" x14ac:dyDescent="0.25">
      <c r="A30" t="s">
        <v>109</v>
      </c>
      <c r="B30" t="s">
        <v>32</v>
      </c>
      <c r="C30">
        <v>100</v>
      </c>
      <c r="D30" t="s">
        <v>4</v>
      </c>
    </row>
    <row r="31" spans="1:4" x14ac:dyDescent="0.25">
      <c r="A31" t="s">
        <v>110</v>
      </c>
      <c r="B31" t="s">
        <v>33</v>
      </c>
      <c r="C31">
        <v>130</v>
      </c>
      <c r="D31" t="s">
        <v>4</v>
      </c>
    </row>
    <row r="32" spans="1:4" x14ac:dyDescent="0.25">
      <c r="A32" t="s">
        <v>111</v>
      </c>
      <c r="B32" t="s">
        <v>34</v>
      </c>
      <c r="C32">
        <v>120</v>
      </c>
      <c r="D32" t="s">
        <v>4</v>
      </c>
    </row>
    <row r="33" spans="1:4" x14ac:dyDescent="0.25">
      <c r="A33" t="s">
        <v>112</v>
      </c>
      <c r="B33" t="s">
        <v>35</v>
      </c>
      <c r="C33">
        <v>150</v>
      </c>
      <c r="D33" t="s">
        <v>4</v>
      </c>
    </row>
    <row r="34" spans="1:4" x14ac:dyDescent="0.25">
      <c r="A34" t="s">
        <v>113</v>
      </c>
      <c r="B34" t="s">
        <v>36</v>
      </c>
      <c r="C34">
        <v>140</v>
      </c>
      <c r="D34" t="s">
        <v>4</v>
      </c>
    </row>
    <row r="35" spans="1:4" x14ac:dyDescent="0.25">
      <c r="A35" t="s">
        <v>114</v>
      </c>
      <c r="B35" t="s">
        <v>37</v>
      </c>
      <c r="C35">
        <v>160</v>
      </c>
      <c r="D35" t="s">
        <v>4</v>
      </c>
    </row>
    <row r="36" spans="1:4" x14ac:dyDescent="0.25">
      <c r="A36" t="s">
        <v>115</v>
      </c>
      <c r="B36" t="s">
        <v>38</v>
      </c>
      <c r="C36">
        <v>140</v>
      </c>
      <c r="D36" t="s">
        <v>4</v>
      </c>
    </row>
    <row r="37" spans="1:4" x14ac:dyDescent="0.25">
      <c r="A37" t="s">
        <v>116</v>
      </c>
      <c r="B37" t="s">
        <v>39</v>
      </c>
      <c r="C37">
        <v>115</v>
      </c>
      <c r="D37" t="s">
        <v>4</v>
      </c>
    </row>
    <row r="38" spans="1:4" x14ac:dyDescent="0.25">
      <c r="A38" t="s">
        <v>117</v>
      </c>
      <c r="B38" t="s">
        <v>40</v>
      </c>
      <c r="C38">
        <v>140</v>
      </c>
      <c r="D38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5C0A-C0ED-4602-9074-A615360262DF}">
  <dimension ref="A1:E10"/>
  <sheetViews>
    <sheetView workbookViewId="0">
      <selection activeCell="C23" sqref="C23"/>
    </sheetView>
  </sheetViews>
  <sheetFormatPr defaultRowHeight="15" x14ac:dyDescent="0.25"/>
  <cols>
    <col min="1" max="1" width="24.5703125" bestFit="1" customWidth="1"/>
    <col min="2" max="2" width="28.140625" bestFit="1" customWidth="1"/>
    <col min="3" max="3" width="18.42578125" bestFit="1" customWidth="1"/>
    <col min="4" max="4" width="11.7109375" bestFit="1" customWidth="1"/>
    <col min="5" max="5" width="43.5703125" bestFit="1" customWidth="1"/>
  </cols>
  <sheetData>
    <row r="1" spans="1:5" ht="15.75" thickBot="1" x14ac:dyDescent="0.3">
      <c r="A1" s="1" t="s">
        <v>50</v>
      </c>
      <c r="B1" t="s">
        <v>49</v>
      </c>
      <c r="C1" t="s">
        <v>41</v>
      </c>
      <c r="D1" t="s">
        <v>42</v>
      </c>
      <c r="E1" t="s">
        <v>2</v>
      </c>
    </row>
    <row r="2" spans="1:5" ht="15.75" thickTop="1" x14ac:dyDescent="0.25">
      <c r="A2" t="s">
        <v>163</v>
      </c>
      <c r="B2" t="s">
        <v>43</v>
      </c>
      <c r="C2" t="s">
        <v>44</v>
      </c>
      <c r="D2">
        <v>0.7</v>
      </c>
      <c r="E2" t="s">
        <v>136</v>
      </c>
    </row>
    <row r="3" spans="1:5" x14ac:dyDescent="0.25">
      <c r="A3" t="s">
        <v>164</v>
      </c>
      <c r="B3" t="s">
        <v>43</v>
      </c>
      <c r="C3" t="s">
        <v>45</v>
      </c>
      <c r="D3">
        <v>1</v>
      </c>
      <c r="E3" t="s">
        <v>136</v>
      </c>
    </row>
    <row r="4" spans="1:5" x14ac:dyDescent="0.25">
      <c r="A4" t="s">
        <v>165</v>
      </c>
      <c r="B4" t="s">
        <v>43</v>
      </c>
      <c r="C4" t="s">
        <v>46</v>
      </c>
      <c r="D4">
        <v>1.4</v>
      </c>
      <c r="E4" t="s">
        <v>136</v>
      </c>
    </row>
    <row r="5" spans="1:5" x14ac:dyDescent="0.25">
      <c r="A5" t="s">
        <v>166</v>
      </c>
      <c r="B5" t="s">
        <v>47</v>
      </c>
      <c r="C5" t="s">
        <v>44</v>
      </c>
      <c r="D5">
        <v>0.65</v>
      </c>
      <c r="E5" t="s">
        <v>136</v>
      </c>
    </row>
    <row r="6" spans="1:5" x14ac:dyDescent="0.25">
      <c r="A6" t="s">
        <v>167</v>
      </c>
      <c r="B6" t="s">
        <v>47</v>
      </c>
      <c r="C6" t="s">
        <v>45</v>
      </c>
      <c r="D6">
        <v>0.95</v>
      </c>
      <c r="E6" t="s">
        <v>136</v>
      </c>
    </row>
    <row r="7" spans="1:5" x14ac:dyDescent="0.25">
      <c r="A7" t="s">
        <v>168</v>
      </c>
      <c r="B7" t="s">
        <v>47</v>
      </c>
      <c r="C7" t="s">
        <v>46</v>
      </c>
      <c r="D7">
        <v>1.35</v>
      </c>
      <c r="E7" t="s">
        <v>136</v>
      </c>
    </row>
    <row r="8" spans="1:5" x14ac:dyDescent="0.25">
      <c r="A8" t="s">
        <v>169</v>
      </c>
      <c r="B8" t="s">
        <v>48</v>
      </c>
      <c r="C8" t="s">
        <v>44</v>
      </c>
      <c r="D8">
        <v>0.75</v>
      </c>
      <c r="E8" t="s">
        <v>136</v>
      </c>
    </row>
    <row r="9" spans="1:5" x14ac:dyDescent="0.25">
      <c r="A9" t="s">
        <v>170</v>
      </c>
      <c r="B9" t="s">
        <v>48</v>
      </c>
      <c r="C9" t="s">
        <v>45</v>
      </c>
      <c r="D9">
        <v>1.1000000000000001</v>
      </c>
      <c r="E9" t="s">
        <v>136</v>
      </c>
    </row>
    <row r="10" spans="1:5" x14ac:dyDescent="0.25">
      <c r="A10" t="s">
        <v>171</v>
      </c>
      <c r="B10" t="s">
        <v>48</v>
      </c>
      <c r="C10" t="s">
        <v>46</v>
      </c>
      <c r="D10">
        <v>1.5</v>
      </c>
      <c r="E10" t="s">
        <v>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E20D-0A14-4D92-862C-3E9850631EE8}">
  <dimension ref="A1:E10"/>
  <sheetViews>
    <sheetView workbookViewId="0">
      <selection activeCell="C21" sqref="C21"/>
    </sheetView>
  </sheetViews>
  <sheetFormatPr defaultRowHeight="15" x14ac:dyDescent="0.25"/>
  <cols>
    <col min="1" max="1" width="22" bestFit="1" customWidth="1"/>
    <col min="2" max="2" width="25.5703125" bestFit="1" customWidth="1"/>
    <col min="3" max="3" width="17.7109375" bestFit="1" customWidth="1"/>
    <col min="4" max="4" width="11.7109375" bestFit="1" customWidth="1"/>
    <col min="5" max="5" width="78" bestFit="1" customWidth="1"/>
  </cols>
  <sheetData>
    <row r="1" spans="1:5" ht="15.75" thickBot="1" x14ac:dyDescent="0.3">
      <c r="A1" s="1" t="s">
        <v>51</v>
      </c>
      <c r="B1" t="s">
        <v>52</v>
      </c>
      <c r="C1" t="s">
        <v>56</v>
      </c>
      <c r="D1" t="s">
        <v>42</v>
      </c>
      <c r="E1" t="s">
        <v>2</v>
      </c>
    </row>
    <row r="2" spans="1:5" ht="15.75" thickTop="1" x14ac:dyDescent="0.25">
      <c r="A2" t="s">
        <v>172</v>
      </c>
      <c r="B2" t="s">
        <v>53</v>
      </c>
      <c r="C2" t="s">
        <v>57</v>
      </c>
      <c r="D2">
        <v>0.75</v>
      </c>
      <c r="E2" t="s">
        <v>137</v>
      </c>
    </row>
    <row r="3" spans="1:5" x14ac:dyDescent="0.25">
      <c r="A3" t="s">
        <v>173</v>
      </c>
      <c r="B3" t="s">
        <v>53</v>
      </c>
      <c r="C3" t="s">
        <v>58</v>
      </c>
      <c r="D3">
        <v>0.9</v>
      </c>
      <c r="E3" t="s">
        <v>137</v>
      </c>
    </row>
    <row r="4" spans="1:5" x14ac:dyDescent="0.25">
      <c r="A4" t="s">
        <v>175</v>
      </c>
      <c r="B4" t="s">
        <v>53</v>
      </c>
      <c r="C4" t="s">
        <v>174</v>
      </c>
      <c r="D4">
        <v>1.1499999999999999</v>
      </c>
      <c r="E4" t="s">
        <v>137</v>
      </c>
    </row>
    <row r="5" spans="1:5" x14ac:dyDescent="0.25">
      <c r="A5" t="s">
        <v>176</v>
      </c>
      <c r="B5" t="s">
        <v>54</v>
      </c>
      <c r="C5" t="s">
        <v>57</v>
      </c>
      <c r="D5">
        <v>0.7</v>
      </c>
      <c r="E5" t="s">
        <v>137</v>
      </c>
    </row>
    <row r="6" spans="1:5" x14ac:dyDescent="0.25">
      <c r="A6" t="s">
        <v>177</v>
      </c>
      <c r="B6" t="s">
        <v>54</v>
      </c>
      <c r="C6" t="s">
        <v>58</v>
      </c>
      <c r="D6">
        <v>1.85</v>
      </c>
      <c r="E6" t="s">
        <v>137</v>
      </c>
    </row>
    <row r="7" spans="1:5" x14ac:dyDescent="0.25">
      <c r="A7" t="s">
        <v>178</v>
      </c>
      <c r="B7" t="s">
        <v>54</v>
      </c>
      <c r="C7" t="s">
        <v>174</v>
      </c>
      <c r="D7">
        <v>1.1000000000000001</v>
      </c>
      <c r="E7" t="s">
        <v>137</v>
      </c>
    </row>
    <row r="8" spans="1:5" x14ac:dyDescent="0.25">
      <c r="A8" t="s">
        <v>179</v>
      </c>
      <c r="B8" t="s">
        <v>55</v>
      </c>
      <c r="C8" t="s">
        <v>57</v>
      </c>
      <c r="D8">
        <v>0.65</v>
      </c>
      <c r="E8" t="s">
        <v>137</v>
      </c>
    </row>
    <row r="9" spans="1:5" x14ac:dyDescent="0.25">
      <c r="A9" t="s">
        <v>180</v>
      </c>
      <c r="B9" t="s">
        <v>55</v>
      </c>
      <c r="C9" t="s">
        <v>58</v>
      </c>
      <c r="D9">
        <v>0.8</v>
      </c>
      <c r="E9" t="s">
        <v>137</v>
      </c>
    </row>
    <row r="10" spans="1:5" x14ac:dyDescent="0.25">
      <c r="A10" t="s">
        <v>181</v>
      </c>
      <c r="B10" t="s">
        <v>55</v>
      </c>
      <c r="C10" t="s">
        <v>174</v>
      </c>
      <c r="D10">
        <v>1</v>
      </c>
      <c r="E10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0E50-988C-4B0E-9138-D8AC78AF5F15}">
  <dimension ref="A1:E18"/>
  <sheetViews>
    <sheetView workbookViewId="0">
      <selection activeCell="D24" sqref="D24"/>
    </sheetView>
  </sheetViews>
  <sheetFormatPr defaultRowHeight="15" x14ac:dyDescent="0.25"/>
  <cols>
    <col min="1" max="1" width="24.7109375" bestFit="1" customWidth="1"/>
    <col min="2" max="2" width="10.7109375" bestFit="1" customWidth="1"/>
    <col min="3" max="3" width="11.140625" bestFit="1" customWidth="1"/>
    <col min="4" max="4" width="28.7109375" bestFit="1" customWidth="1"/>
    <col min="5" max="5" width="35.140625" bestFit="1" customWidth="1"/>
  </cols>
  <sheetData>
    <row r="1" spans="1:5" x14ac:dyDescent="0.25">
      <c r="A1" t="s">
        <v>79</v>
      </c>
      <c r="B1" t="s">
        <v>78</v>
      </c>
      <c r="C1" t="s">
        <v>59</v>
      </c>
      <c r="D1" t="s">
        <v>60</v>
      </c>
      <c r="E1" t="s">
        <v>2</v>
      </c>
    </row>
    <row r="2" spans="1:5" x14ac:dyDescent="0.25">
      <c r="A2" t="str">
        <f>CONCATENATE("Nov-25"," ",FXRates[[#This Row],[Currency]])</f>
        <v>Nov-25 USD</v>
      </c>
      <c r="B2" s="12">
        <v>45989</v>
      </c>
      <c r="C2" t="s">
        <v>61</v>
      </c>
      <c r="D2">
        <v>1</v>
      </c>
      <c r="E2" t="s">
        <v>135</v>
      </c>
    </row>
    <row r="3" spans="1:5" x14ac:dyDescent="0.25">
      <c r="A3" t="str">
        <f>CONCATENATE("Nov-25"," ",FXRates[[#This Row],[Currency]])</f>
        <v>Nov-25 INR</v>
      </c>
      <c r="B3" s="12">
        <v>45989</v>
      </c>
      <c r="C3" t="s">
        <v>62</v>
      </c>
      <c r="D3">
        <v>85</v>
      </c>
      <c r="E3" t="s">
        <v>135</v>
      </c>
    </row>
    <row r="4" spans="1:5" x14ac:dyDescent="0.25">
      <c r="A4" t="str">
        <f>CONCATENATE("Nov-25"," ",FXRates[[#This Row],[Currency]])</f>
        <v>Nov-25 SAR</v>
      </c>
      <c r="B4" s="12">
        <v>45989</v>
      </c>
      <c r="C4" t="s">
        <v>63</v>
      </c>
      <c r="D4">
        <v>3.75</v>
      </c>
      <c r="E4" t="s">
        <v>135</v>
      </c>
    </row>
    <row r="5" spans="1:5" x14ac:dyDescent="0.25">
      <c r="A5" t="str">
        <f>CONCATENATE("Nov-25"," ",FXRates[[#This Row],[Currency]])</f>
        <v>Nov-25 AED</v>
      </c>
      <c r="B5" s="12">
        <v>45989</v>
      </c>
      <c r="C5" t="s">
        <v>64</v>
      </c>
      <c r="D5">
        <v>3.67</v>
      </c>
      <c r="E5" t="s">
        <v>135</v>
      </c>
    </row>
    <row r="6" spans="1:5" x14ac:dyDescent="0.25">
      <c r="A6" t="str">
        <f>CONCATENATE("Nov-25"," ",FXRates[[#This Row],[Currency]])</f>
        <v>Nov-25 GBP</v>
      </c>
      <c r="B6" s="12">
        <v>45989</v>
      </c>
      <c r="C6" t="s">
        <v>65</v>
      </c>
      <c r="D6">
        <v>0.78</v>
      </c>
      <c r="E6" t="s">
        <v>135</v>
      </c>
    </row>
    <row r="7" spans="1:5" x14ac:dyDescent="0.25">
      <c r="A7" t="str">
        <f>CONCATENATE("Nov-25"," ",FXRates[[#This Row],[Currency]])</f>
        <v>Nov-25 EUR</v>
      </c>
      <c r="B7" s="12">
        <v>45989</v>
      </c>
      <c r="C7" t="s">
        <v>66</v>
      </c>
      <c r="D7">
        <v>0.92</v>
      </c>
      <c r="E7" t="s">
        <v>135</v>
      </c>
    </row>
    <row r="8" spans="1:5" x14ac:dyDescent="0.25">
      <c r="A8" t="str">
        <f>CONCATENATE("Nov-25"," ",FXRates[[#This Row],[Currency]])</f>
        <v>Nov-25 AUD</v>
      </c>
      <c r="B8" s="12">
        <v>45989</v>
      </c>
      <c r="C8" t="s">
        <v>67</v>
      </c>
      <c r="D8">
        <v>1.55</v>
      </c>
      <c r="E8" t="s">
        <v>135</v>
      </c>
    </row>
    <row r="9" spans="1:5" x14ac:dyDescent="0.25">
      <c r="A9" t="str">
        <f>CONCATENATE("Nov-25"," ",FXRates[[#This Row],[Currency]])</f>
        <v>Nov-25 NZD</v>
      </c>
      <c r="B9" s="12">
        <v>45989</v>
      </c>
      <c r="C9" t="s">
        <v>68</v>
      </c>
      <c r="D9">
        <v>1.7</v>
      </c>
      <c r="E9" t="s">
        <v>135</v>
      </c>
    </row>
    <row r="10" spans="1:5" x14ac:dyDescent="0.25">
      <c r="A10" t="str">
        <f>CONCATENATE("Nov-25"," ",FXRates[[#This Row],[Currency]])</f>
        <v>Nov-25 SGD</v>
      </c>
      <c r="B10" s="12">
        <v>45989</v>
      </c>
      <c r="C10" t="s">
        <v>69</v>
      </c>
      <c r="D10">
        <v>1.35</v>
      </c>
      <c r="E10" t="s">
        <v>135</v>
      </c>
    </row>
    <row r="11" spans="1:5" x14ac:dyDescent="0.25">
      <c r="A11" t="str">
        <f>CONCATENATE("Nov-25"," ",FXRates[[#This Row],[Currency]])</f>
        <v>Nov-25 MXN</v>
      </c>
      <c r="B11" s="12">
        <v>45989</v>
      </c>
      <c r="C11" t="s">
        <v>70</v>
      </c>
      <c r="D11">
        <v>17</v>
      </c>
      <c r="E11" t="s">
        <v>135</v>
      </c>
    </row>
    <row r="12" spans="1:5" x14ac:dyDescent="0.25">
      <c r="A12" t="str">
        <f>CONCATENATE("Nov-25"," ",FXRates[[#This Row],[Currency]])</f>
        <v>Nov-25 ZAR</v>
      </c>
      <c r="B12" s="12">
        <v>45989</v>
      </c>
      <c r="C12" t="s">
        <v>71</v>
      </c>
      <c r="D12">
        <v>18.5</v>
      </c>
      <c r="E12" t="s">
        <v>135</v>
      </c>
    </row>
    <row r="13" spans="1:5" x14ac:dyDescent="0.25">
      <c r="A13" t="str">
        <f>CONCATENATE("Nov-25"," ",FXRates[[#This Row],[Currency]])</f>
        <v>Nov-25 MYR</v>
      </c>
      <c r="B13" s="12">
        <v>45989</v>
      </c>
      <c r="C13" t="s">
        <v>72</v>
      </c>
      <c r="D13">
        <v>4.7</v>
      </c>
      <c r="E13" t="s">
        <v>135</v>
      </c>
    </row>
    <row r="14" spans="1:5" x14ac:dyDescent="0.25">
      <c r="A14" t="str">
        <f>CONCATENATE("Nov-25"," ",FXRates[[#This Row],[Currency]])</f>
        <v>Nov-25 CAD</v>
      </c>
      <c r="B14" s="12">
        <v>45989</v>
      </c>
      <c r="C14" t="s">
        <v>73</v>
      </c>
      <c r="D14">
        <v>1.35</v>
      </c>
      <c r="E14" t="s">
        <v>135</v>
      </c>
    </row>
    <row r="15" spans="1:5" x14ac:dyDescent="0.25">
      <c r="A15" t="str">
        <f>CONCATENATE("Nov-25"," ",FXRates[[#This Row],[Currency]])</f>
        <v>Nov-25 CNY</v>
      </c>
      <c r="B15" s="12">
        <v>45989</v>
      </c>
      <c r="C15" t="s">
        <v>74</v>
      </c>
      <c r="D15">
        <v>7.2</v>
      </c>
      <c r="E15" t="s">
        <v>135</v>
      </c>
    </row>
    <row r="16" spans="1:5" x14ac:dyDescent="0.25">
      <c r="A16" t="str">
        <f>CONCATENATE("Nov-25"," ",FXRates[[#This Row],[Currency]])</f>
        <v>Nov-25 BRL</v>
      </c>
      <c r="B16" s="12">
        <v>45989</v>
      </c>
      <c r="C16" t="s">
        <v>75</v>
      </c>
      <c r="D16">
        <v>5</v>
      </c>
      <c r="E16" t="s">
        <v>135</v>
      </c>
    </row>
    <row r="17" spans="1:5" x14ac:dyDescent="0.25">
      <c r="A17" t="str">
        <f>CONCATENATE("Nov-25"," ",FXRates[[#This Row],[Currency]])</f>
        <v>Nov-25 JPY</v>
      </c>
      <c r="B17" s="12">
        <v>45989</v>
      </c>
      <c r="C17" t="s">
        <v>76</v>
      </c>
      <c r="D17">
        <v>150</v>
      </c>
      <c r="E17" t="s">
        <v>135</v>
      </c>
    </row>
    <row r="18" spans="1:5" x14ac:dyDescent="0.25">
      <c r="A18" t="str">
        <f>CONCATENATE("Nov-25"," ",FXRates[[#This Row],[Currency]])</f>
        <v>Nov-25 ARS</v>
      </c>
      <c r="B18" s="12">
        <v>45989</v>
      </c>
      <c r="C18" t="s">
        <v>77</v>
      </c>
      <c r="D18">
        <v>350</v>
      </c>
      <c r="E18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5464-DEEA-4C5B-98D1-4E48B2115751}">
  <dimension ref="A1:C15"/>
  <sheetViews>
    <sheetView workbookViewId="0">
      <selection activeCell="B20" sqref="B20"/>
    </sheetView>
  </sheetViews>
  <sheetFormatPr defaultRowHeight="15" x14ac:dyDescent="0.25"/>
  <cols>
    <col min="1" max="1" width="18.5703125" customWidth="1"/>
    <col min="2" max="2" width="13.140625" customWidth="1"/>
    <col min="3" max="3" width="43" bestFit="1" customWidth="1"/>
  </cols>
  <sheetData>
    <row r="1" spans="1:3" x14ac:dyDescent="0.25">
      <c r="A1" t="s">
        <v>118</v>
      </c>
      <c r="B1" t="s">
        <v>127</v>
      </c>
      <c r="C1" t="s">
        <v>2</v>
      </c>
    </row>
    <row r="2" spans="1:3" x14ac:dyDescent="0.25">
      <c r="A2" t="s">
        <v>119</v>
      </c>
      <c r="B2">
        <v>1</v>
      </c>
      <c r="C2" t="s">
        <v>134</v>
      </c>
    </row>
    <row r="3" spans="1:3" x14ac:dyDescent="0.25">
      <c r="A3" t="s">
        <v>120</v>
      </c>
      <c r="B3">
        <v>8</v>
      </c>
      <c r="C3" t="s">
        <v>134</v>
      </c>
    </row>
    <row r="4" spans="1:3" x14ac:dyDescent="0.25">
      <c r="A4" t="s">
        <v>128</v>
      </c>
      <c r="B4">
        <f>19*8</f>
        <v>152</v>
      </c>
      <c r="C4" t="s">
        <v>134</v>
      </c>
    </row>
    <row r="5" spans="1:3" x14ac:dyDescent="0.25">
      <c r="A5" t="s">
        <v>129</v>
      </c>
      <c r="B5">
        <f>20*8</f>
        <v>160</v>
      </c>
      <c r="C5" t="s">
        <v>134</v>
      </c>
    </row>
    <row r="6" spans="1:3" x14ac:dyDescent="0.25">
      <c r="A6" t="s">
        <v>130</v>
      </c>
      <c r="B6">
        <f>18*8</f>
        <v>144</v>
      </c>
      <c r="C6" t="s">
        <v>134</v>
      </c>
    </row>
    <row r="7" spans="1:3" x14ac:dyDescent="0.25">
      <c r="A7" t="s">
        <v>121</v>
      </c>
      <c r="B7">
        <f>7*8</f>
        <v>56</v>
      </c>
      <c r="C7" t="s">
        <v>134</v>
      </c>
    </row>
    <row r="8" spans="1:3" x14ac:dyDescent="0.25">
      <c r="A8" t="s">
        <v>122</v>
      </c>
      <c r="B8">
        <f>14*8</f>
        <v>112</v>
      </c>
      <c r="C8" t="s">
        <v>134</v>
      </c>
    </row>
    <row r="9" spans="1:3" x14ac:dyDescent="0.25">
      <c r="A9" t="s">
        <v>123</v>
      </c>
      <c r="B9">
        <f>6*8</f>
        <v>48</v>
      </c>
      <c r="C9" t="s">
        <v>134</v>
      </c>
    </row>
    <row r="10" spans="1:3" x14ac:dyDescent="0.25">
      <c r="A10" t="s">
        <v>131</v>
      </c>
      <c r="B10">
        <f>12*8</f>
        <v>96</v>
      </c>
      <c r="C10" t="s">
        <v>134</v>
      </c>
    </row>
    <row r="11" spans="1:3" x14ac:dyDescent="0.25">
      <c r="A11" t="s">
        <v>132</v>
      </c>
      <c r="B11">
        <f>5*8</f>
        <v>40</v>
      </c>
      <c r="C11" t="s">
        <v>134</v>
      </c>
    </row>
    <row r="12" spans="1:3" x14ac:dyDescent="0.25">
      <c r="A12" t="s">
        <v>133</v>
      </c>
      <c r="B12">
        <f>10*8</f>
        <v>80</v>
      </c>
      <c r="C12" t="s">
        <v>134</v>
      </c>
    </row>
    <row r="13" spans="1:3" x14ac:dyDescent="0.25">
      <c r="A13" t="s">
        <v>124</v>
      </c>
      <c r="B13">
        <f>30*8</f>
        <v>240</v>
      </c>
      <c r="C13" t="s">
        <v>134</v>
      </c>
    </row>
    <row r="14" spans="1:3" x14ac:dyDescent="0.25">
      <c r="A14" t="s">
        <v>125</v>
      </c>
      <c r="B14">
        <f>45*8</f>
        <v>360</v>
      </c>
      <c r="C14" t="s">
        <v>134</v>
      </c>
    </row>
    <row r="15" spans="1:3" x14ac:dyDescent="0.25">
      <c r="A15" t="s">
        <v>126</v>
      </c>
      <c r="B15">
        <f>60*8</f>
        <v>480</v>
      </c>
      <c r="C15" t="s">
        <v>134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73F1-F7F5-4F89-B32E-97FAC53D0F9D}">
  <dimension ref="A1:D7"/>
  <sheetViews>
    <sheetView workbookViewId="0">
      <selection activeCell="D11" sqref="D11"/>
    </sheetView>
  </sheetViews>
  <sheetFormatPr defaultRowHeight="15" x14ac:dyDescent="0.25"/>
  <cols>
    <col min="1" max="1" width="5.140625" bestFit="1" customWidth="1"/>
    <col min="2" max="2" width="20.42578125" bestFit="1" customWidth="1"/>
    <col min="3" max="3" width="13.28515625" bestFit="1" customWidth="1"/>
    <col min="4" max="4" width="90" bestFit="1" customWidth="1"/>
  </cols>
  <sheetData>
    <row r="1" spans="1:4" ht="15.75" thickBot="1" x14ac:dyDescent="0.3">
      <c r="A1" s="2" t="s">
        <v>149</v>
      </c>
      <c r="B1" s="1" t="s">
        <v>138</v>
      </c>
      <c r="C1" s="2" t="s">
        <v>127</v>
      </c>
      <c r="D1" s="3" t="s">
        <v>2</v>
      </c>
    </row>
    <row r="2" spans="1:4" ht="15.75" thickTop="1" x14ac:dyDescent="0.25">
      <c r="A2" t="s">
        <v>150</v>
      </c>
      <c r="B2" t="s">
        <v>139</v>
      </c>
      <c r="C2">
        <v>1</v>
      </c>
      <c r="D2" t="s">
        <v>144</v>
      </c>
    </row>
    <row r="3" spans="1:4" x14ac:dyDescent="0.25">
      <c r="A3" t="s">
        <v>151</v>
      </c>
      <c r="B3" t="s">
        <v>140</v>
      </c>
      <c r="C3">
        <v>0.9</v>
      </c>
      <c r="D3" t="s">
        <v>145</v>
      </c>
    </row>
    <row r="4" spans="1:4" x14ac:dyDescent="0.25">
      <c r="A4" t="s">
        <v>152</v>
      </c>
      <c r="B4" t="s">
        <v>141</v>
      </c>
      <c r="C4">
        <v>1.05</v>
      </c>
      <c r="D4" t="s">
        <v>146</v>
      </c>
    </row>
    <row r="5" spans="1:4" x14ac:dyDescent="0.25">
      <c r="A5" t="s">
        <v>153</v>
      </c>
      <c r="B5" t="s">
        <v>142</v>
      </c>
      <c r="C5">
        <v>1.2</v>
      </c>
      <c r="D5" t="s">
        <v>147</v>
      </c>
    </row>
    <row r="6" spans="1:4" x14ac:dyDescent="0.25">
      <c r="A6" t="s">
        <v>154</v>
      </c>
      <c r="B6" t="s">
        <v>143</v>
      </c>
      <c r="C6">
        <v>1.35</v>
      </c>
      <c r="D6" t="s">
        <v>148</v>
      </c>
    </row>
    <row r="7" spans="1:4" x14ac:dyDescent="0.25">
      <c r="A7" t="s">
        <v>160</v>
      </c>
      <c r="B7" t="s">
        <v>161</v>
      </c>
      <c r="C7">
        <v>0.85</v>
      </c>
      <c r="D7" t="s">
        <v>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78A0-891E-463A-9849-FC15C894077F}">
  <dimension ref="A1:D4"/>
  <sheetViews>
    <sheetView workbookViewId="0">
      <selection activeCell="N22" sqref="N22"/>
    </sheetView>
  </sheetViews>
  <sheetFormatPr defaultRowHeight="15" x14ac:dyDescent="0.25"/>
  <cols>
    <col min="2" max="2" width="14.140625" customWidth="1"/>
    <col min="3" max="3" width="13.140625" customWidth="1"/>
    <col min="4" max="4" width="44.85546875" bestFit="1" customWidth="1"/>
  </cols>
  <sheetData>
    <row r="1" spans="1:4" ht="15.75" thickBot="1" x14ac:dyDescent="0.3">
      <c r="A1" s="2" t="s">
        <v>149</v>
      </c>
      <c r="B1" s="2" t="s">
        <v>155</v>
      </c>
      <c r="C1" s="2" t="s">
        <v>127</v>
      </c>
      <c r="D1" s="3" t="s">
        <v>2</v>
      </c>
    </row>
    <row r="2" spans="1:4" ht="15.75" thickTop="1" x14ac:dyDescent="0.25">
      <c r="A2" s="4" t="s">
        <v>156</v>
      </c>
      <c r="B2" s="5" t="s">
        <v>44</v>
      </c>
      <c r="C2" s="13">
        <v>0.3</v>
      </c>
      <c r="D2" s="6" t="s">
        <v>159</v>
      </c>
    </row>
    <row r="3" spans="1:4" x14ac:dyDescent="0.25">
      <c r="A3" s="7" t="s">
        <v>157</v>
      </c>
      <c r="B3" s="8" t="s">
        <v>45</v>
      </c>
      <c r="C3" s="14">
        <v>0.5</v>
      </c>
      <c r="D3" s="14" t="s">
        <v>159</v>
      </c>
    </row>
    <row r="4" spans="1:4" x14ac:dyDescent="0.25">
      <c r="A4" s="9" t="s">
        <v>158</v>
      </c>
      <c r="B4" s="10" t="s">
        <v>46</v>
      </c>
      <c r="C4" s="15">
        <v>0.2</v>
      </c>
      <c r="D4" s="11" t="s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Rate Card</vt:lpstr>
      <vt:lpstr>Experience Multiplier</vt:lpstr>
      <vt:lpstr>Location Multiplier</vt:lpstr>
      <vt:lpstr>Currency Exchange</vt:lpstr>
      <vt:lpstr>Monthly Rate Card</vt:lpstr>
      <vt:lpstr>Price List Multiplier</vt:lpstr>
      <vt:lpstr>Blended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2025-11-28T11:10:15Z</dcterms:created>
  <dcterms:modified xsi:type="dcterms:W3CDTF">2025-11-28T12:50:42Z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2025-11-28T11:10:51Z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9822ae19-ea5b-44d0-aa54-5ad423e04cf4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