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6BD96522-E05D-49B6-8362-322A3731452B}" xr6:coauthVersionLast="47" xr6:coauthVersionMax="47" xr10:uidLastSave="{00000000-0000-0000-0000-000000000000}"/>
  <bookViews>
    <workbookView xWindow="-120" yWindow="-120" windowWidth="29040" windowHeight="15840" tabRatio="673" activeTab="3" xr2:uid="{00000000-000D-0000-FFFF-FFFF00000000}"/>
  </bookViews>
  <sheets>
    <sheet name="Index Sheet" sheetId="16" r:id="rId1"/>
    <sheet name="Risk vs Contingency" sheetId="15" r:id="rId2"/>
    <sheet name="Pricing Calculator" sheetId="14" r:id="rId3"/>
    <sheet name="Product List table" sheetId="17" r:id="rId4"/>
    <sheet name="Baseline Rate Card" sheetId="1" r:id="rId5"/>
    <sheet name="Experience Multiplier" sheetId="2" r:id="rId6"/>
    <sheet name="Location Multiplier" sheetId="3" r:id="rId7"/>
    <sheet name="Currency Exchange" sheetId="5" r:id="rId8"/>
    <sheet name="Monthly Rate Card" sheetId="6" r:id="rId9"/>
    <sheet name="Business Type Multiplier" sheetId="8" r:id="rId10"/>
    <sheet name="Blended Rate" sheetId="7" r:id="rId11"/>
    <sheet name="Discount Rates" sheetId="9" r:id="rId12"/>
    <sheet name="Scope Complexity" sheetId="10" r:id="rId13"/>
    <sheet name="SLA" sheetId="11" r:id="rId14"/>
    <sheet name="Risk Buffer" sheetId="12" r:id="rId15"/>
    <sheet name="Contingency" sheetId="1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4" l="1"/>
  <c r="D18" i="14"/>
  <c r="E17" i="14"/>
  <c r="D17" i="14"/>
  <c r="E16" i="14"/>
  <c r="D16" i="14"/>
  <c r="E15" i="14"/>
  <c r="D15" i="14"/>
  <c r="E14" i="14"/>
  <c r="D14" i="14"/>
  <c r="D13" i="14"/>
  <c r="E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E4" i="14"/>
  <c r="D4" i="14"/>
  <c r="E3" i="14"/>
  <c r="D3" i="14"/>
  <c r="B15" i="6"/>
  <c r="B14" i="6"/>
  <c r="B6" i="6"/>
  <c r="B5" i="6"/>
  <c r="B4" i="6"/>
  <c r="B13" i="6"/>
  <c r="B12" i="6"/>
  <c r="B11" i="6"/>
  <c r="B10" i="6"/>
  <c r="B9" i="6"/>
  <c r="B8" i="6"/>
  <c r="B7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I4" i="14" l="1"/>
  <c r="I7" i="14"/>
  <c r="I10" i="14" s="1"/>
  <c r="I13" i="14" s="1"/>
  <c r="I3" i="14"/>
  <c r="I6" i="14" s="1"/>
  <c r="I9" i="14" s="1"/>
  <c r="I12" i="14" s="1"/>
  <c r="I5" i="14"/>
  <c r="I8" i="14" s="1"/>
  <c r="I11" i="14" s="1"/>
  <c r="I14" i="14" s="1"/>
  <c r="I15" i="14" l="1"/>
</calcChain>
</file>

<file path=xl/sharedStrings.xml><?xml version="1.0" encoding="utf-8"?>
<sst xmlns="http://schemas.openxmlformats.org/spreadsheetml/2006/main" count="9483" uniqueCount="6307">
  <si>
    <t>Service</t>
  </si>
  <si>
    <t>Baseline USD/hour</t>
  </si>
  <si>
    <t>Notes</t>
  </si>
  <si>
    <t>API Integration</t>
  </si>
  <si>
    <t>Mid-level benchmark based on industry averages</t>
  </si>
  <si>
    <t>Automation Tester</t>
  </si>
  <si>
    <t>Back-end Developer</t>
  </si>
  <si>
    <t>Business Analyst</t>
  </si>
  <si>
    <t>Customer Analytics</t>
  </si>
  <si>
    <t>Customer Journey Analytics</t>
  </si>
  <si>
    <t>Customer LTV Analytics</t>
  </si>
  <si>
    <t>DBA</t>
  </si>
  <si>
    <t>Data Analyst</t>
  </si>
  <si>
    <t>Data Analytics / Visualization</t>
  </si>
  <si>
    <t>Data Engineering</t>
  </si>
  <si>
    <t>Data Migration</t>
  </si>
  <si>
    <t>Data Science</t>
  </si>
  <si>
    <t>DevOps Engineer</t>
  </si>
  <si>
    <t>Dynamics 365 Consulting</t>
  </si>
  <si>
    <t>Dynamics 365 Development</t>
  </si>
  <si>
    <t>Fraud Analytics</t>
  </si>
  <si>
    <t>Front-end Developer</t>
  </si>
  <si>
    <t>Functional Tester</t>
  </si>
  <si>
    <t>HR Analytics</t>
  </si>
  <si>
    <t>Java Developer</t>
  </si>
  <si>
    <t>Market Basket Analytics</t>
  </si>
  <si>
    <t>Marketing Analytics</t>
  </si>
  <si>
    <t>Microservices Developer</t>
  </si>
  <si>
    <t>Non-Functional Testing</t>
  </si>
  <si>
    <t>PowerApps Design &amp; Implementation</t>
  </si>
  <si>
    <t>Product Analytics</t>
  </si>
  <si>
    <t>Python Developer</t>
  </si>
  <si>
    <t>Quality Assurance Services</t>
  </si>
  <si>
    <t>Real-time Customer Onboarding Solutions</t>
  </si>
  <si>
    <t>Real-time Employee Onboarding Solutions</t>
  </si>
  <si>
    <t>Revenue Growth Management</t>
  </si>
  <si>
    <t>Risk Analysis / Mitigation</t>
  </si>
  <si>
    <t>SAP Consulting</t>
  </si>
  <si>
    <t>SAP Development</t>
  </si>
  <si>
    <t>Scrum Master</t>
  </si>
  <si>
    <t>Supply Chain Analytics</t>
  </si>
  <si>
    <t>Experience Level</t>
  </si>
  <si>
    <t>Rate Card</t>
  </si>
  <si>
    <t>Experience Muliplier 1</t>
  </si>
  <si>
    <t>Junior</t>
  </si>
  <si>
    <t>Mid</t>
  </si>
  <si>
    <t>Senior</t>
  </si>
  <si>
    <t>Experience Muliplier 2</t>
  </si>
  <si>
    <t>Experience Muliplier 3</t>
  </si>
  <si>
    <t>Experience Muliplier Name</t>
  </si>
  <si>
    <t>Experience Muliplier ID</t>
  </si>
  <si>
    <t>Location Muliplier ID</t>
  </si>
  <si>
    <t>Location Muliplier Name</t>
  </si>
  <si>
    <t>Location Muliplier 1</t>
  </si>
  <si>
    <t>Location Muliplier 2</t>
  </si>
  <si>
    <t>Location Muliplier 3</t>
  </si>
  <si>
    <t>Location</t>
  </si>
  <si>
    <t>India Offshore</t>
  </si>
  <si>
    <t>India Onsite</t>
  </si>
  <si>
    <t>Currency</t>
  </si>
  <si>
    <t>Conversion Rate (per 1 USD)</t>
  </si>
  <si>
    <t>USD</t>
  </si>
  <si>
    <t>INR</t>
  </si>
  <si>
    <t>SAR</t>
  </si>
  <si>
    <t>AED</t>
  </si>
  <si>
    <t>GBP</t>
  </si>
  <si>
    <t>EUR</t>
  </si>
  <si>
    <t>AUD</t>
  </si>
  <si>
    <t>NZD</t>
  </si>
  <si>
    <t>SGD</t>
  </si>
  <si>
    <t>MXN</t>
  </si>
  <si>
    <t>ZAR</t>
  </si>
  <si>
    <t>MYR</t>
  </si>
  <si>
    <t>CAD</t>
  </si>
  <si>
    <t>CNY</t>
  </si>
  <si>
    <t>BRL</t>
  </si>
  <si>
    <t>JPY</t>
  </si>
  <si>
    <t>ARS</t>
  </si>
  <si>
    <t>Month</t>
  </si>
  <si>
    <t>Exchange Conversion ID</t>
  </si>
  <si>
    <t>Service ID</t>
  </si>
  <si>
    <t>Baseline - 1</t>
  </si>
  <si>
    <t>Baseline - 2</t>
  </si>
  <si>
    <t>Baseline - 3</t>
  </si>
  <si>
    <t>Baseline - 4</t>
  </si>
  <si>
    <t>Baseline - 5</t>
  </si>
  <si>
    <t>Baseline - 6</t>
  </si>
  <si>
    <t>Baseline - 7</t>
  </si>
  <si>
    <t>Baseline - 8</t>
  </si>
  <si>
    <t>Baseline - 9</t>
  </si>
  <si>
    <t>Baseline - 10</t>
  </si>
  <si>
    <t>Baseline - 11</t>
  </si>
  <si>
    <t>Baseline - 12</t>
  </si>
  <si>
    <t>Baseline - 13</t>
  </si>
  <si>
    <t>Baseline - 14</t>
  </si>
  <si>
    <t>Baseline - 15</t>
  </si>
  <si>
    <t>Baseline - 16</t>
  </si>
  <si>
    <t>Baseline - 17</t>
  </si>
  <si>
    <t>Baseline - 18</t>
  </si>
  <si>
    <t>Baseline - 19</t>
  </si>
  <si>
    <t>Baseline - 20</t>
  </si>
  <si>
    <t>Baseline - 21</t>
  </si>
  <si>
    <t>Baseline - 22</t>
  </si>
  <si>
    <t>Baseline - 23</t>
  </si>
  <si>
    <t>Baseline - 24</t>
  </si>
  <si>
    <t>Baseline - 25</t>
  </si>
  <si>
    <t>Baseline - 26</t>
  </si>
  <si>
    <t>Baseline - 27</t>
  </si>
  <si>
    <t>Baseline - 28</t>
  </si>
  <si>
    <t>Baseline - 29</t>
  </si>
  <si>
    <t>Baseline - 30</t>
  </si>
  <si>
    <t>Baseline - 31</t>
  </si>
  <si>
    <t>Baseline - 32</t>
  </si>
  <si>
    <t>Baseline - 33</t>
  </si>
  <si>
    <t>Baseline - 34</t>
  </si>
  <si>
    <t>Baseline - 35</t>
  </si>
  <si>
    <t>Baseline - 36</t>
  </si>
  <si>
    <t>Baseline - 37</t>
  </si>
  <si>
    <t>Type of Rate Card</t>
  </si>
  <si>
    <t>Hour</t>
  </si>
  <si>
    <t>Daily</t>
  </si>
  <si>
    <t>Sprint wise 1</t>
  </si>
  <si>
    <t>Sprint wise 2</t>
  </si>
  <si>
    <t>Sprint wise 3</t>
  </si>
  <si>
    <t>Milestone Based 1</t>
  </si>
  <si>
    <t>Milestone Based 2</t>
  </si>
  <si>
    <t>Milestone Based 3</t>
  </si>
  <si>
    <t>Conversion</t>
  </si>
  <si>
    <t>Monthly 1</t>
  </si>
  <si>
    <t>Monthly 2</t>
  </si>
  <si>
    <t>Monthly 3</t>
  </si>
  <si>
    <t>Sprint wise 4</t>
  </si>
  <si>
    <t>Sprint wise 5</t>
  </si>
  <si>
    <t>Sprint wise 6</t>
  </si>
  <si>
    <t>Rates mentioned in hours, for a day its 8 Hours</t>
  </si>
  <si>
    <t>Currency rates are as of 28th Nov 2025</t>
  </si>
  <si>
    <t>Experience Level Multiplier from Baseline Rate</t>
  </si>
  <si>
    <t>Location wise multiplier is used to derived the final rates based on baseline rate card</t>
  </si>
  <si>
    <t>Type of Companies</t>
  </si>
  <si>
    <t>Standard Rate</t>
  </si>
  <si>
    <t>Small Business</t>
  </si>
  <si>
    <t>Medium Business</t>
  </si>
  <si>
    <t>Enterprise Business</t>
  </si>
  <si>
    <t>Large MNCs</t>
  </si>
  <si>
    <t>Typical projects, moderate governance, standard SLAs</t>
  </si>
  <si>
    <t>Price-sensitive, smaller scope, lighter compliance</t>
  </si>
  <si>
    <t>Growing needs, some compliance &amp; reporting, occasional onsite</t>
  </si>
  <si>
    <t>Complex integration, strict governance/compliance, higher SLA commitments</t>
  </si>
  <si>
    <t>Multi-region, 24×7 support, security audits, global templates, heavier PMO &amp; vendor management</t>
  </si>
  <si>
    <t>ID</t>
  </si>
  <si>
    <t>Type of Role</t>
  </si>
  <si>
    <t>BRJ1</t>
  </si>
  <si>
    <t>BRM2</t>
  </si>
  <si>
    <t>BRS3</t>
  </si>
  <si>
    <t>Blended Rate Mix, if Blended Rate card provided</t>
  </si>
  <si>
    <t>Default Rate</t>
  </si>
  <si>
    <t>Default Rate uses for leads time when revenue is not known</t>
  </si>
  <si>
    <t>EMJ 1</t>
  </si>
  <si>
    <t>EMM 1</t>
  </si>
  <si>
    <t>EMS 1</t>
  </si>
  <si>
    <t>EMJ 2</t>
  </si>
  <si>
    <t>EMM 2</t>
  </si>
  <si>
    <t>EMS 2</t>
  </si>
  <si>
    <t>EMJ 3</t>
  </si>
  <si>
    <t>EMM 3</t>
  </si>
  <si>
    <t>EMS 3</t>
  </si>
  <si>
    <t>LMIOF 1</t>
  </si>
  <si>
    <t>LMION 1</t>
  </si>
  <si>
    <t>Overseas Onsite</t>
  </si>
  <si>
    <t>LMOON 1</t>
  </si>
  <si>
    <t>LMIOF 2</t>
  </si>
  <si>
    <t>LMION 2</t>
  </si>
  <si>
    <t>LMOON 2</t>
  </si>
  <si>
    <t>LMIOF 3</t>
  </si>
  <si>
    <t>LMION 3</t>
  </si>
  <si>
    <t>LMOON 3</t>
  </si>
  <si>
    <t>DR1</t>
  </si>
  <si>
    <t>Name of Discount</t>
  </si>
  <si>
    <t>Discount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</si>
  <si>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</si>
  <si>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</si>
  <si>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</si>
  <si>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</si>
  <si>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</si>
  <si>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</si>
  <si>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</si>
  <si>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</si>
  <si>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</si>
  <si>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</si>
  <si>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</si>
  <si>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</si>
  <si>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</si>
  <si>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</si>
  <si>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</si>
  <si>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</si>
  <si>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</si>
  <si>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</si>
  <si>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DR20</t>
  </si>
  <si>
    <t>DR21</t>
  </si>
  <si>
    <t>DR22</t>
  </si>
  <si>
    <t>DR23</t>
  </si>
  <si>
    <t>DR24</t>
  </si>
  <si>
    <t>DR25</t>
  </si>
  <si>
    <t>DR26</t>
  </si>
  <si>
    <t>DR27</t>
  </si>
  <si>
    <t>DR28</t>
  </si>
  <si>
    <t>DR29</t>
  </si>
  <si>
    <t>DR30</t>
  </si>
  <si>
    <t>DR31</t>
  </si>
  <si>
    <t>DR32</t>
  </si>
  <si>
    <t>DR33</t>
  </si>
  <si>
    <t>DR34</t>
  </si>
  <si>
    <t>DR35</t>
  </si>
  <si>
    <t>DR36</t>
  </si>
  <si>
    <t>DR37</t>
  </si>
  <si>
    <t>DR38</t>
  </si>
  <si>
    <t>DR39</t>
  </si>
  <si>
    <t>DR40</t>
  </si>
  <si>
    <t>DR41</t>
  </si>
  <si>
    <t>DR42</t>
  </si>
  <si>
    <t>DR43</t>
  </si>
  <si>
    <t>DR44</t>
  </si>
  <si>
    <t>DR45</t>
  </si>
  <si>
    <t>DR46</t>
  </si>
  <si>
    <t>DR47</t>
  </si>
  <si>
    <t>DR48</t>
  </si>
  <si>
    <t>DR49</t>
  </si>
  <si>
    <t>DR50</t>
  </si>
  <si>
    <t>DR51</t>
  </si>
  <si>
    <t>DR52</t>
  </si>
  <si>
    <t>DR53</t>
  </si>
  <si>
    <t>DR54</t>
  </si>
  <si>
    <t>DR55</t>
  </si>
  <si>
    <t>DR56</t>
  </si>
  <si>
    <t>DR57</t>
  </si>
  <si>
    <t>DR58</t>
  </si>
  <si>
    <t>DR59</t>
  </si>
  <si>
    <t>DR60</t>
  </si>
  <si>
    <t>DR61</t>
  </si>
  <si>
    <t>DR62</t>
  </si>
  <si>
    <t>DR63</t>
  </si>
  <si>
    <t>DR64</t>
  </si>
  <si>
    <t>DR65</t>
  </si>
  <si>
    <t>DR66</t>
  </si>
  <si>
    <t>DR67</t>
  </si>
  <si>
    <t>DR68</t>
  </si>
  <si>
    <t>DR69</t>
  </si>
  <si>
    <t>DR70</t>
  </si>
  <si>
    <t>DR71</t>
  </si>
  <si>
    <t>DR72</t>
  </si>
  <si>
    <t>DR73</t>
  </si>
  <si>
    <t>DR74</t>
  </si>
  <si>
    <t>DR75</t>
  </si>
  <si>
    <t>DR76</t>
  </si>
  <si>
    <t>DR77</t>
  </si>
  <si>
    <t>DR78</t>
  </si>
  <si>
    <t>DR79</t>
  </si>
  <si>
    <t>DR80</t>
  </si>
  <si>
    <t>DR81</t>
  </si>
  <si>
    <t>DR82</t>
  </si>
  <si>
    <t>DR83</t>
  </si>
  <si>
    <t>DR84</t>
  </si>
  <si>
    <t>DR85</t>
  </si>
  <si>
    <t>DR86</t>
  </si>
  <si>
    <t>DR87</t>
  </si>
  <si>
    <t>DR88</t>
  </si>
  <si>
    <t>DR89</t>
  </si>
  <si>
    <t>DR90</t>
  </si>
  <si>
    <t>DR91</t>
  </si>
  <si>
    <t>DR92</t>
  </si>
  <si>
    <t>DR93</t>
  </si>
  <si>
    <t>DR94</t>
  </si>
  <si>
    <t>DR95</t>
  </si>
  <si>
    <t>DR96</t>
  </si>
  <si>
    <t>DR97</t>
  </si>
  <si>
    <t>DR98</t>
  </si>
  <si>
    <t>DR99</t>
  </si>
  <si>
    <t>DR100</t>
  </si>
  <si>
    <t>DR101</t>
  </si>
  <si>
    <t>Discount 1</t>
  </si>
  <si>
    <t>Discount 2</t>
  </si>
  <si>
    <t>Discount 3</t>
  </si>
  <si>
    <t>Discount 4</t>
  </si>
  <si>
    <t>Discount 5</t>
  </si>
  <si>
    <t>Discount 6</t>
  </si>
  <si>
    <t>Discount 7</t>
  </si>
  <si>
    <t>Discount 8</t>
  </si>
  <si>
    <t>Discount 9</t>
  </si>
  <si>
    <t>Discount 10</t>
  </si>
  <si>
    <t>Discount 11</t>
  </si>
  <si>
    <t>Discount 12</t>
  </si>
  <si>
    <t>Discount 13</t>
  </si>
  <si>
    <t>Discount 14</t>
  </si>
  <si>
    <t>Discount 15</t>
  </si>
  <si>
    <t>Discount 16</t>
  </si>
  <si>
    <t>Discount 17</t>
  </si>
  <si>
    <t>Discount 18</t>
  </si>
  <si>
    <t>Discount 19</t>
  </si>
  <si>
    <t>Discount 20</t>
  </si>
  <si>
    <t>Discount 21</t>
  </si>
  <si>
    <t>Discount 22</t>
  </si>
  <si>
    <t>Discount 23</t>
  </si>
  <si>
    <t>Discount 24</t>
  </si>
  <si>
    <t>Discount 25</t>
  </si>
  <si>
    <t>Discount 26</t>
  </si>
  <si>
    <t>Discount 27</t>
  </si>
  <si>
    <t>Discount 28</t>
  </si>
  <si>
    <t>Discount 29</t>
  </si>
  <si>
    <t>Discount 30</t>
  </si>
  <si>
    <t>Discount 31</t>
  </si>
  <si>
    <t>Discount 32</t>
  </si>
  <si>
    <t>Discount 33</t>
  </si>
  <si>
    <t>Discount 34</t>
  </si>
  <si>
    <t>Discount 35</t>
  </si>
  <si>
    <t>Discount 36</t>
  </si>
  <si>
    <t>Discount 37</t>
  </si>
  <si>
    <t>Discount 38</t>
  </si>
  <si>
    <t>Discount 39</t>
  </si>
  <si>
    <t>Discount 40</t>
  </si>
  <si>
    <t>Discount 41</t>
  </si>
  <si>
    <t>Discount 42</t>
  </si>
  <si>
    <t>Discount 43</t>
  </si>
  <si>
    <t>Discount 44</t>
  </si>
  <si>
    <t>Discount 45</t>
  </si>
  <si>
    <t>Discount 46</t>
  </si>
  <si>
    <t>Discount 47</t>
  </si>
  <si>
    <t>Discount 48</t>
  </si>
  <si>
    <t>Discount 49</t>
  </si>
  <si>
    <t>Discount 50</t>
  </si>
  <si>
    <t>Discount 51</t>
  </si>
  <si>
    <t>Discount 52</t>
  </si>
  <si>
    <t>Discount 53</t>
  </si>
  <si>
    <t>Discount 54</t>
  </si>
  <si>
    <t>Discount 55</t>
  </si>
  <si>
    <t>Discount 56</t>
  </si>
  <si>
    <t>Discount 57</t>
  </si>
  <si>
    <t>Discount 58</t>
  </si>
  <si>
    <t>Discount 59</t>
  </si>
  <si>
    <t>Discount 60</t>
  </si>
  <si>
    <t>Discount 61</t>
  </si>
  <si>
    <t>Discount 62</t>
  </si>
  <si>
    <t>Discount 63</t>
  </si>
  <si>
    <t>Discount 64</t>
  </si>
  <si>
    <t>Discount 65</t>
  </si>
  <si>
    <t>Discount 66</t>
  </si>
  <si>
    <t>Discount 67</t>
  </si>
  <si>
    <t>Discount 68</t>
  </si>
  <si>
    <t>Discount 69</t>
  </si>
  <si>
    <t>Discount 70</t>
  </si>
  <si>
    <t>Discount 71</t>
  </si>
  <si>
    <t>Discount 72</t>
  </si>
  <si>
    <t>Discount 73</t>
  </si>
  <si>
    <t>Discount 74</t>
  </si>
  <si>
    <t>Discount 75</t>
  </si>
  <si>
    <t>Discount 76</t>
  </si>
  <si>
    <t>Discount 77</t>
  </si>
  <si>
    <t>Discount 78</t>
  </si>
  <si>
    <t>Discount 79</t>
  </si>
  <si>
    <t>Discount 80</t>
  </si>
  <si>
    <t>Discount 81</t>
  </si>
  <si>
    <t>Discount 82</t>
  </si>
  <si>
    <t>Discount 83</t>
  </si>
  <si>
    <t>Discount 84</t>
  </si>
  <si>
    <t>Discount 85</t>
  </si>
  <si>
    <t>Discount 86</t>
  </si>
  <si>
    <t>Discount 87</t>
  </si>
  <si>
    <t>Discount 88</t>
  </si>
  <si>
    <t>Discount 89</t>
  </si>
  <si>
    <t>Discount 90</t>
  </si>
  <si>
    <t>Discount 91</t>
  </si>
  <si>
    <t>Discount 92</t>
  </si>
  <si>
    <t>Discount 93</t>
  </si>
  <si>
    <t>Discount 94</t>
  </si>
  <si>
    <t>Discount 95</t>
  </si>
  <si>
    <t>Discount 96</t>
  </si>
  <si>
    <t>Discount 97</t>
  </si>
  <si>
    <t>Discount 98</t>
  </si>
  <si>
    <t>Discount 99</t>
  </si>
  <si>
    <t>Discount 100</t>
  </si>
  <si>
    <t>Discount 101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</si>
  <si>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</si>
  <si>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</si>
  <si>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</si>
  <si>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</si>
  <si>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</si>
  <si>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</si>
  <si>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</si>
  <si>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</si>
  <si>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</si>
  <si>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</si>
  <si>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</si>
  <si>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</si>
  <si>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</si>
  <si>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</si>
  <si>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</si>
  <si>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</si>
  <si>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</si>
  <si>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</si>
  <si>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</si>
  <si>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</si>
  <si>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</si>
  <si>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</si>
  <si>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</si>
  <si>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</si>
  <si>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</si>
  <si>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</si>
  <si>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</si>
  <si>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</si>
  <si>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</si>
  <si>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</si>
  <si>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</si>
  <si>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</si>
  <si>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</si>
  <si>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</si>
  <si>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</si>
  <si>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</si>
  <si>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</si>
  <si>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</si>
  <si>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</si>
  <si>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</si>
  <si>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</si>
  <si>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DR143</t>
  </si>
  <si>
    <t>DR144</t>
  </si>
  <si>
    <t>DR145</t>
  </si>
  <si>
    <t>DR146</t>
  </si>
  <si>
    <t>DR147</t>
  </si>
  <si>
    <t>DR148</t>
  </si>
  <si>
    <t>DR149</t>
  </si>
  <si>
    <t>DR150</t>
  </si>
  <si>
    <t>DR151</t>
  </si>
  <si>
    <t>DR152</t>
  </si>
  <si>
    <t>DR153</t>
  </si>
  <si>
    <t>DR154</t>
  </si>
  <si>
    <t>DR155</t>
  </si>
  <si>
    <t>DR156</t>
  </si>
  <si>
    <t>DR157</t>
  </si>
  <si>
    <t>DR158</t>
  </si>
  <si>
    <t>DR159</t>
  </si>
  <si>
    <t>DR160</t>
  </si>
  <si>
    <t>DR161</t>
  </si>
  <si>
    <t>DR162</t>
  </si>
  <si>
    <t>DR163</t>
  </si>
  <si>
    <t>DR164</t>
  </si>
  <si>
    <t>DR165</t>
  </si>
  <si>
    <t>DR166</t>
  </si>
  <si>
    <t>DR167</t>
  </si>
  <si>
    <t>DR168</t>
  </si>
  <si>
    <t>DR169</t>
  </si>
  <si>
    <t>DR170</t>
  </si>
  <si>
    <t>DR171</t>
  </si>
  <si>
    <t>DR172</t>
  </si>
  <si>
    <t>DR173</t>
  </si>
  <si>
    <t>DR174</t>
  </si>
  <si>
    <t>DR175</t>
  </si>
  <si>
    <t>DR176</t>
  </si>
  <si>
    <t>DR177</t>
  </si>
  <si>
    <t>DR178</t>
  </si>
  <si>
    <t>DR179</t>
  </si>
  <si>
    <t>DR180</t>
  </si>
  <si>
    <t>DR181</t>
  </si>
  <si>
    <t>DR182</t>
  </si>
  <si>
    <t>DR183</t>
  </si>
  <si>
    <t>DR184</t>
  </si>
  <si>
    <t>DR185</t>
  </si>
  <si>
    <t>DR186</t>
  </si>
  <si>
    <t>DR187</t>
  </si>
  <si>
    <t>DR188</t>
  </si>
  <si>
    <t>DR189</t>
  </si>
  <si>
    <t>DR190</t>
  </si>
  <si>
    <t>DR191</t>
  </si>
  <si>
    <t>DR192</t>
  </si>
  <si>
    <t>DR193</t>
  </si>
  <si>
    <t>DR194</t>
  </si>
  <si>
    <t>DR195</t>
  </si>
  <si>
    <t>DR196</t>
  </si>
  <si>
    <t>DR197</t>
  </si>
  <si>
    <t>DR198</t>
  </si>
  <si>
    <t>DR199</t>
  </si>
  <si>
    <t>DR200</t>
  </si>
  <si>
    <t>DR201</t>
  </si>
  <si>
    <t>DR202</t>
  </si>
  <si>
    <t>DR203</t>
  </si>
  <si>
    <t>DR204</t>
  </si>
  <si>
    <t>DR205</t>
  </si>
  <si>
    <t>DR206</t>
  </si>
  <si>
    <t>DR207</t>
  </si>
  <si>
    <t>DR208</t>
  </si>
  <si>
    <t>DR209</t>
  </si>
  <si>
    <t>DR210</t>
  </si>
  <si>
    <t>DR211</t>
  </si>
  <si>
    <t>DR212</t>
  </si>
  <si>
    <t>DR213</t>
  </si>
  <si>
    <t>DR214</t>
  </si>
  <si>
    <t>DR215</t>
  </si>
  <si>
    <t>DR216</t>
  </si>
  <si>
    <t>DR217</t>
  </si>
  <si>
    <t>DR218</t>
  </si>
  <si>
    <t>DR219</t>
  </si>
  <si>
    <t>DR220</t>
  </si>
  <si>
    <t>DR221</t>
  </si>
  <si>
    <t>DR222</t>
  </si>
  <si>
    <t>DR223</t>
  </si>
  <si>
    <t>DR224</t>
  </si>
  <si>
    <t>DR225</t>
  </si>
  <si>
    <t>DR226</t>
  </si>
  <si>
    <t>DR227</t>
  </si>
  <si>
    <t>DR228</t>
  </si>
  <si>
    <t>DR229</t>
  </si>
  <si>
    <t>DR230</t>
  </si>
  <si>
    <t>DR231</t>
  </si>
  <si>
    <t>DR232</t>
  </si>
  <si>
    <t>DR233</t>
  </si>
  <si>
    <t>DR234</t>
  </si>
  <si>
    <t>DR235</t>
  </si>
  <si>
    <t>DR236</t>
  </si>
  <si>
    <t>DR237</t>
  </si>
  <si>
    <t>DR238</t>
  </si>
  <si>
    <t>DR239</t>
  </si>
  <si>
    <t>DR240</t>
  </si>
  <si>
    <t>DR241</t>
  </si>
  <si>
    <t>DR242</t>
  </si>
  <si>
    <t>DR243</t>
  </si>
  <si>
    <t>DR244</t>
  </si>
  <si>
    <t>DR245</t>
  </si>
  <si>
    <t>DR246</t>
  </si>
  <si>
    <t>DR247</t>
  </si>
  <si>
    <t>DR248</t>
  </si>
  <si>
    <t>DR249</t>
  </si>
  <si>
    <t>DR250</t>
  </si>
  <si>
    <t>DR251</t>
  </si>
  <si>
    <t>DR252</t>
  </si>
  <si>
    <t>DR253</t>
  </si>
  <si>
    <t>DR254</t>
  </si>
  <si>
    <t>DR255</t>
  </si>
  <si>
    <t>DR256</t>
  </si>
  <si>
    <t>DR257</t>
  </si>
  <si>
    <t>DR258</t>
  </si>
  <si>
    <t>DR259</t>
  </si>
  <si>
    <t>DR260</t>
  </si>
  <si>
    <t>DR261</t>
  </si>
  <si>
    <t>DR262</t>
  </si>
  <si>
    <t>DR263</t>
  </si>
  <si>
    <t>DR264</t>
  </si>
  <si>
    <t>DR265</t>
  </si>
  <si>
    <t>DR266</t>
  </si>
  <si>
    <t>DR267</t>
  </si>
  <si>
    <t>DR268</t>
  </si>
  <si>
    <t>DR269</t>
  </si>
  <si>
    <t>DR270</t>
  </si>
  <si>
    <t>DR271</t>
  </si>
  <si>
    <t>DR272</t>
  </si>
  <si>
    <t>DR273</t>
  </si>
  <si>
    <t>DR274</t>
  </si>
  <si>
    <t>DR275</t>
  </si>
  <si>
    <t>DR276</t>
  </si>
  <si>
    <t>DR277</t>
  </si>
  <si>
    <t>DR278</t>
  </si>
  <si>
    <t>DR279</t>
  </si>
  <si>
    <t>DR280</t>
  </si>
  <si>
    <t>DR281</t>
  </si>
  <si>
    <t>DR282</t>
  </si>
  <si>
    <t>DR283</t>
  </si>
  <si>
    <t>DR284</t>
  </si>
  <si>
    <t>DR285</t>
  </si>
  <si>
    <t>DR286</t>
  </si>
  <si>
    <t>DR287</t>
  </si>
  <si>
    <t>DR288</t>
  </si>
  <si>
    <t>DR289</t>
  </si>
  <si>
    <t>DR290</t>
  </si>
  <si>
    <t>DR291</t>
  </si>
  <si>
    <t>DR292</t>
  </si>
  <si>
    <t>DR293</t>
  </si>
  <si>
    <t>DR294</t>
  </si>
  <si>
    <t>DR295</t>
  </si>
  <si>
    <t>DR296</t>
  </si>
  <si>
    <t>DR297</t>
  </si>
  <si>
    <t>DR298</t>
  </si>
  <si>
    <t>DR299</t>
  </si>
  <si>
    <t>DR300</t>
  </si>
  <si>
    <t>DR301</t>
  </si>
  <si>
    <t>DR302</t>
  </si>
  <si>
    <t>DR303</t>
  </si>
  <si>
    <t>DR304</t>
  </si>
  <si>
    <t>DR305</t>
  </si>
  <si>
    <t>DR306</t>
  </si>
  <si>
    <t>DR307</t>
  </si>
  <si>
    <t>DR308</t>
  </si>
  <si>
    <t>DR309</t>
  </si>
  <si>
    <t>DR310</t>
  </si>
  <si>
    <t>DR311</t>
  </si>
  <si>
    <t>DR312</t>
  </si>
  <si>
    <t>DR313</t>
  </si>
  <si>
    <t>DR314</t>
  </si>
  <si>
    <t>DR315</t>
  </si>
  <si>
    <t>DR316</t>
  </si>
  <si>
    <t>DR317</t>
  </si>
  <si>
    <t>DR318</t>
  </si>
  <si>
    <t>DR319</t>
  </si>
  <si>
    <t>DR320</t>
  </si>
  <si>
    <t>DR321</t>
  </si>
  <si>
    <t>DR322</t>
  </si>
  <si>
    <t>DR323</t>
  </si>
  <si>
    <t>DR324</t>
  </si>
  <si>
    <t>DR325</t>
  </si>
  <si>
    <t>DR326</t>
  </si>
  <si>
    <t>DR327</t>
  </si>
  <si>
    <t>DR328</t>
  </si>
  <si>
    <t>DR329</t>
  </si>
  <si>
    <t>DR330</t>
  </si>
  <si>
    <t>DR331</t>
  </si>
  <si>
    <t>DR332</t>
  </si>
  <si>
    <t>DR333</t>
  </si>
  <si>
    <t>DR334</t>
  </si>
  <si>
    <t>DR335</t>
  </si>
  <si>
    <t>DR336</t>
  </si>
  <si>
    <t>DR337</t>
  </si>
  <si>
    <t>DR338</t>
  </si>
  <si>
    <t>DR339</t>
  </si>
  <si>
    <t>DR340</t>
  </si>
  <si>
    <t>DR341</t>
  </si>
  <si>
    <t>DR342</t>
  </si>
  <si>
    <t>DR343</t>
  </si>
  <si>
    <t>DR344</t>
  </si>
  <si>
    <t>DR345</t>
  </si>
  <si>
    <t>DR346</t>
  </si>
  <si>
    <t>DR347</t>
  </si>
  <si>
    <t>DR348</t>
  </si>
  <si>
    <t>DR349</t>
  </si>
  <si>
    <t>DR350</t>
  </si>
  <si>
    <t>DR351</t>
  </si>
  <si>
    <t>DR352</t>
  </si>
  <si>
    <t>DR353</t>
  </si>
  <si>
    <t>DR354</t>
  </si>
  <si>
    <t>DR355</t>
  </si>
  <si>
    <t>DR356</t>
  </si>
  <si>
    <t>DR357</t>
  </si>
  <si>
    <t>DR358</t>
  </si>
  <si>
    <t>DR359</t>
  </si>
  <si>
    <t>DR360</t>
  </si>
  <si>
    <t>DR361</t>
  </si>
  <si>
    <t>DR362</t>
  </si>
  <si>
    <t>DR363</t>
  </si>
  <si>
    <t>DR364</t>
  </si>
  <si>
    <t>DR365</t>
  </si>
  <si>
    <t>DR366</t>
  </si>
  <si>
    <t>DR367</t>
  </si>
  <si>
    <t>DR368</t>
  </si>
  <si>
    <t>DR369</t>
  </si>
  <si>
    <t>DR370</t>
  </si>
  <si>
    <t>DR371</t>
  </si>
  <si>
    <t>DR372</t>
  </si>
  <si>
    <t>DR373</t>
  </si>
  <si>
    <t>DR374</t>
  </si>
  <si>
    <t>DR375</t>
  </si>
  <si>
    <t>DR376</t>
  </si>
  <si>
    <t>DR377</t>
  </si>
  <si>
    <t>DR378</t>
  </si>
  <si>
    <t>DR379</t>
  </si>
  <si>
    <t>DR380</t>
  </si>
  <si>
    <t>DR381</t>
  </si>
  <si>
    <t>DR382</t>
  </si>
  <si>
    <t>DR383</t>
  </si>
  <si>
    <t>DR384</t>
  </si>
  <si>
    <t>DR385</t>
  </si>
  <si>
    <t>DR386</t>
  </si>
  <si>
    <t>DR387</t>
  </si>
  <si>
    <t>DR388</t>
  </si>
  <si>
    <t>DR389</t>
  </si>
  <si>
    <t>DR390</t>
  </si>
  <si>
    <t>DR391</t>
  </si>
  <si>
    <t>DR392</t>
  </si>
  <si>
    <t>DR393</t>
  </si>
  <si>
    <t>DR394</t>
  </si>
  <si>
    <t>DR395</t>
  </si>
  <si>
    <t>DR396</t>
  </si>
  <si>
    <t>DR397</t>
  </si>
  <si>
    <t>DR398</t>
  </si>
  <si>
    <t>DR399</t>
  </si>
  <si>
    <t>DR400</t>
  </si>
  <si>
    <t>DR401</t>
  </si>
  <si>
    <t>DR402</t>
  </si>
  <si>
    <t>DR403</t>
  </si>
  <si>
    <t>DR404</t>
  </si>
  <si>
    <t>DR405</t>
  </si>
  <si>
    <t>DR406</t>
  </si>
  <si>
    <t>DR407</t>
  </si>
  <si>
    <t>DR408</t>
  </si>
  <si>
    <t>DR409</t>
  </si>
  <si>
    <t>DR410</t>
  </si>
  <si>
    <t>DR411</t>
  </si>
  <si>
    <t>DR412</t>
  </si>
  <si>
    <t>DR413</t>
  </si>
  <si>
    <t>DR414</t>
  </si>
  <si>
    <t>DR415</t>
  </si>
  <si>
    <t>DR416</t>
  </si>
  <si>
    <t>DR417</t>
  </si>
  <si>
    <t>DR418</t>
  </si>
  <si>
    <t>DR419</t>
  </si>
  <si>
    <t>DR420</t>
  </si>
  <si>
    <t>DR421</t>
  </si>
  <si>
    <t>DR422</t>
  </si>
  <si>
    <t>DR423</t>
  </si>
  <si>
    <t>DR424</t>
  </si>
  <si>
    <t>DR425</t>
  </si>
  <si>
    <t>DR426</t>
  </si>
  <si>
    <t>DR427</t>
  </si>
  <si>
    <t>DR428</t>
  </si>
  <si>
    <t>DR429</t>
  </si>
  <si>
    <t>DR430</t>
  </si>
  <si>
    <t>DR431</t>
  </si>
  <si>
    <t>DR432</t>
  </si>
  <si>
    <t>DR433</t>
  </si>
  <si>
    <t>DR434</t>
  </si>
  <si>
    <t>DR435</t>
  </si>
  <si>
    <t>DR436</t>
  </si>
  <si>
    <t>DR437</t>
  </si>
  <si>
    <t>DR438</t>
  </si>
  <si>
    <t>DR439</t>
  </si>
  <si>
    <t>DR440</t>
  </si>
  <si>
    <t>DR441</t>
  </si>
  <si>
    <t>DR442</t>
  </si>
  <si>
    <t>DR443</t>
  </si>
  <si>
    <t>DR444</t>
  </si>
  <si>
    <t>DR445</t>
  </si>
  <si>
    <t>DR446</t>
  </si>
  <si>
    <t>DR447</t>
  </si>
  <si>
    <t>DR448</t>
  </si>
  <si>
    <t>DR449</t>
  </si>
  <si>
    <t>DR450</t>
  </si>
  <si>
    <t>DR451</t>
  </si>
  <si>
    <t>DR452</t>
  </si>
  <si>
    <t>DR453</t>
  </si>
  <si>
    <t>DR454</t>
  </si>
  <si>
    <t>DR455</t>
  </si>
  <si>
    <t>DR456</t>
  </si>
  <si>
    <t>DR457</t>
  </si>
  <si>
    <t>DR458</t>
  </si>
  <si>
    <t>DR459</t>
  </si>
  <si>
    <t>DR460</t>
  </si>
  <si>
    <t>DR461</t>
  </si>
  <si>
    <t>DR462</t>
  </si>
  <si>
    <t>DR463</t>
  </si>
  <si>
    <t>DR464</t>
  </si>
  <si>
    <t>DR465</t>
  </si>
  <si>
    <t>DR466</t>
  </si>
  <si>
    <t>DR467</t>
  </si>
  <si>
    <t>DR468</t>
  </si>
  <si>
    <t>DR469</t>
  </si>
  <si>
    <t>DR470</t>
  </si>
  <si>
    <t>DR471</t>
  </si>
  <si>
    <t>DR472</t>
  </si>
  <si>
    <t>DR473</t>
  </si>
  <si>
    <t>DR474</t>
  </si>
  <si>
    <t>DR475</t>
  </si>
  <si>
    <t>DR476</t>
  </si>
  <si>
    <t>DR477</t>
  </si>
  <si>
    <t>DR478</t>
  </si>
  <si>
    <t>DR479</t>
  </si>
  <si>
    <t>DR480</t>
  </si>
  <si>
    <t>DR481</t>
  </si>
  <si>
    <t>DR482</t>
  </si>
  <si>
    <t>DR483</t>
  </si>
  <si>
    <t>DR484</t>
  </si>
  <si>
    <t>DR485</t>
  </si>
  <si>
    <t>DR486</t>
  </si>
  <si>
    <t>DR487</t>
  </si>
  <si>
    <t>DR488</t>
  </si>
  <si>
    <t>DR489</t>
  </si>
  <si>
    <t>DR490</t>
  </si>
  <si>
    <t>DR491</t>
  </si>
  <si>
    <t>DR492</t>
  </si>
  <si>
    <t>DR493</t>
  </si>
  <si>
    <t>DR494</t>
  </si>
  <si>
    <t>DR495</t>
  </si>
  <si>
    <t>DR496</t>
  </si>
  <si>
    <t>DR497</t>
  </si>
  <si>
    <t>DR498</t>
  </si>
  <si>
    <t>DR499</t>
  </si>
  <si>
    <t>DR500</t>
  </si>
  <si>
    <t>DR501</t>
  </si>
  <si>
    <t>DR502</t>
  </si>
  <si>
    <t>DR503</t>
  </si>
  <si>
    <t>DR504</t>
  </si>
  <si>
    <t>DR505</t>
  </si>
  <si>
    <t>DR506</t>
  </si>
  <si>
    <t>DR507</t>
  </si>
  <si>
    <t>DR508</t>
  </si>
  <si>
    <t>DR509</t>
  </si>
  <si>
    <t>DR510</t>
  </si>
  <si>
    <t>DR511</t>
  </si>
  <si>
    <t>DR512</t>
  </si>
  <si>
    <t>DR513</t>
  </si>
  <si>
    <t>DR514</t>
  </si>
  <si>
    <t>DR515</t>
  </si>
  <si>
    <t>DR516</t>
  </si>
  <si>
    <t>DR517</t>
  </si>
  <si>
    <t>DR518</t>
  </si>
  <si>
    <t>DR519</t>
  </si>
  <si>
    <t>DR520</t>
  </si>
  <si>
    <t>DR521</t>
  </si>
  <si>
    <t>DR522</t>
  </si>
  <si>
    <t>DR523</t>
  </si>
  <si>
    <t>DR524</t>
  </si>
  <si>
    <t>DR525</t>
  </si>
  <si>
    <t>DR526</t>
  </si>
  <si>
    <t>DR527</t>
  </si>
  <si>
    <t>DR528</t>
  </si>
  <si>
    <t>DR529</t>
  </si>
  <si>
    <t>DR530</t>
  </si>
  <si>
    <t>DR531</t>
  </si>
  <si>
    <t>DR532</t>
  </si>
  <si>
    <t>DR533</t>
  </si>
  <si>
    <t>DR534</t>
  </si>
  <si>
    <t>DR535</t>
  </si>
  <si>
    <t>DR536</t>
  </si>
  <si>
    <t>DR537</t>
  </si>
  <si>
    <t>DR538</t>
  </si>
  <si>
    <t>DR539</t>
  </si>
  <si>
    <t>DR540</t>
  </si>
  <si>
    <t>DR541</t>
  </si>
  <si>
    <t>DR542</t>
  </si>
  <si>
    <t>DR543</t>
  </si>
  <si>
    <t>DR544</t>
  </si>
  <si>
    <t>DR545</t>
  </si>
  <si>
    <t>DR546</t>
  </si>
  <si>
    <t>DR547</t>
  </si>
  <si>
    <t>DR548</t>
  </si>
  <si>
    <t>DR549</t>
  </si>
  <si>
    <t>DR550</t>
  </si>
  <si>
    <t>DR551</t>
  </si>
  <si>
    <t>DR552</t>
  </si>
  <si>
    <t>DR553</t>
  </si>
  <si>
    <t>DR554</t>
  </si>
  <si>
    <t>DR555</t>
  </si>
  <si>
    <t>DR556</t>
  </si>
  <si>
    <t>DR557</t>
  </si>
  <si>
    <t>DR558</t>
  </si>
  <si>
    <t>DR559</t>
  </si>
  <si>
    <t>DR560</t>
  </si>
  <si>
    <t>DR561</t>
  </si>
  <si>
    <t>DR562</t>
  </si>
  <si>
    <t>DR563</t>
  </si>
  <si>
    <t>DR564</t>
  </si>
  <si>
    <t>DR565</t>
  </si>
  <si>
    <t>DR566</t>
  </si>
  <si>
    <t>DR567</t>
  </si>
  <si>
    <t>DR568</t>
  </si>
  <si>
    <t>DR569</t>
  </si>
  <si>
    <t>DR570</t>
  </si>
  <si>
    <t>DR571</t>
  </si>
  <si>
    <t>DR572</t>
  </si>
  <si>
    <t>DR573</t>
  </si>
  <si>
    <t>DR574</t>
  </si>
  <si>
    <t>DR575</t>
  </si>
  <si>
    <t>DR576</t>
  </si>
  <si>
    <t>DR577</t>
  </si>
  <si>
    <t>DR578</t>
  </si>
  <si>
    <t>DR579</t>
  </si>
  <si>
    <t>DR580</t>
  </si>
  <si>
    <t>DR581</t>
  </si>
  <si>
    <t>DR582</t>
  </si>
  <si>
    <t>DR583</t>
  </si>
  <si>
    <t>DR584</t>
  </si>
  <si>
    <t>DR585</t>
  </si>
  <si>
    <t>DR586</t>
  </si>
  <si>
    <t>DR587</t>
  </si>
  <si>
    <t>DR588</t>
  </si>
  <si>
    <t>DR589</t>
  </si>
  <si>
    <t>DR590</t>
  </si>
  <si>
    <t>DR591</t>
  </si>
  <si>
    <t>DR592</t>
  </si>
  <si>
    <t>DR593</t>
  </si>
  <si>
    <t>DR594</t>
  </si>
  <si>
    <t>DR595</t>
  </si>
  <si>
    <t>DR596</t>
  </si>
  <si>
    <t>DR597</t>
  </si>
  <si>
    <t>DR598</t>
  </si>
  <si>
    <t>DR599</t>
  </si>
  <si>
    <t>DR600</t>
  </si>
  <si>
    <t>DR601</t>
  </si>
  <si>
    <t>DR602</t>
  </si>
  <si>
    <t>DR603</t>
  </si>
  <si>
    <t>DR604</t>
  </si>
  <si>
    <t>DR605</t>
  </si>
  <si>
    <t>DR606</t>
  </si>
  <si>
    <t>DR607</t>
  </si>
  <si>
    <t>DR608</t>
  </si>
  <si>
    <t>DR609</t>
  </si>
  <si>
    <t>DR610</t>
  </si>
  <si>
    <t>DR611</t>
  </si>
  <si>
    <t>DR612</t>
  </si>
  <si>
    <t>DR613</t>
  </si>
  <si>
    <t>DR614</t>
  </si>
  <si>
    <t>DR615</t>
  </si>
  <si>
    <t>DR616</t>
  </si>
  <si>
    <t>DR617</t>
  </si>
  <si>
    <t>DR618</t>
  </si>
  <si>
    <t>DR619</t>
  </si>
  <si>
    <t>DR620</t>
  </si>
  <si>
    <t>DR621</t>
  </si>
  <si>
    <t>DR622</t>
  </si>
  <si>
    <t>DR623</t>
  </si>
  <si>
    <t>DR624</t>
  </si>
  <si>
    <t>DR625</t>
  </si>
  <si>
    <t>DR626</t>
  </si>
  <si>
    <t>DR627</t>
  </si>
  <si>
    <t>DR628</t>
  </si>
  <si>
    <t>DR629</t>
  </si>
  <si>
    <t>DR630</t>
  </si>
  <si>
    <t>DR631</t>
  </si>
  <si>
    <t>DR632</t>
  </si>
  <si>
    <t>DR633</t>
  </si>
  <si>
    <t>DR634</t>
  </si>
  <si>
    <t>DR635</t>
  </si>
  <si>
    <t>DR636</t>
  </si>
  <si>
    <t>DR637</t>
  </si>
  <si>
    <t>DR638</t>
  </si>
  <si>
    <t>DR639</t>
  </si>
  <si>
    <t>DR640</t>
  </si>
  <si>
    <t>DR641</t>
  </si>
  <si>
    <t>DR642</t>
  </si>
  <si>
    <t>DR643</t>
  </si>
  <si>
    <t>DR644</t>
  </si>
  <si>
    <t>DR645</t>
  </si>
  <si>
    <t>DR646</t>
  </si>
  <si>
    <t>DR647</t>
  </si>
  <si>
    <t>DR648</t>
  </si>
  <si>
    <t>DR649</t>
  </si>
  <si>
    <t>DR650</t>
  </si>
  <si>
    <t>DR651</t>
  </si>
  <si>
    <t>DR652</t>
  </si>
  <si>
    <t>DR653</t>
  </si>
  <si>
    <t>DR654</t>
  </si>
  <si>
    <t>DR655</t>
  </si>
  <si>
    <t>DR656</t>
  </si>
  <si>
    <t>DR657</t>
  </si>
  <si>
    <t>DR658</t>
  </si>
  <si>
    <t>DR659</t>
  </si>
  <si>
    <t>DR660</t>
  </si>
  <si>
    <t>DR661</t>
  </si>
  <si>
    <t>DR662</t>
  </si>
  <si>
    <t>DR663</t>
  </si>
  <si>
    <t>DR664</t>
  </si>
  <si>
    <t>DR665</t>
  </si>
  <si>
    <t>DR666</t>
  </si>
  <si>
    <t>DR667</t>
  </si>
  <si>
    <t>DR668</t>
  </si>
  <si>
    <t>DR669</t>
  </si>
  <si>
    <t>DR670</t>
  </si>
  <si>
    <t>DR671</t>
  </si>
  <si>
    <t>DR672</t>
  </si>
  <si>
    <t>DR673</t>
  </si>
  <si>
    <t>DR674</t>
  </si>
  <si>
    <t>DR675</t>
  </si>
  <si>
    <t>DR676</t>
  </si>
  <si>
    <t>DR677</t>
  </si>
  <si>
    <t>DR678</t>
  </si>
  <si>
    <t>DR679</t>
  </si>
  <si>
    <t>DR680</t>
  </si>
  <si>
    <t>DR681</t>
  </si>
  <si>
    <t>DR682</t>
  </si>
  <si>
    <t>DR683</t>
  </si>
  <si>
    <t>DR684</t>
  </si>
  <si>
    <t>DR685</t>
  </si>
  <si>
    <t>DR686</t>
  </si>
  <si>
    <t>DR687</t>
  </si>
  <si>
    <t>DR688</t>
  </si>
  <si>
    <t>DR689</t>
  </si>
  <si>
    <t>DR690</t>
  </si>
  <si>
    <t>DR691</t>
  </si>
  <si>
    <t>DR692</t>
  </si>
  <si>
    <t>DR693</t>
  </si>
  <si>
    <t>DR694</t>
  </si>
  <si>
    <t>DR695</t>
  </si>
  <si>
    <t>DR696</t>
  </si>
  <si>
    <t>DR697</t>
  </si>
  <si>
    <t>DR698</t>
  </si>
  <si>
    <t>DR699</t>
  </si>
  <si>
    <t>DR700</t>
  </si>
  <si>
    <t>DR701</t>
  </si>
  <si>
    <t>DR702</t>
  </si>
  <si>
    <t>DR703</t>
  </si>
  <si>
    <t>DR704</t>
  </si>
  <si>
    <t>DR705</t>
  </si>
  <si>
    <t>DR706</t>
  </si>
  <si>
    <t>DR707</t>
  </si>
  <si>
    <t>DR708</t>
  </si>
  <si>
    <t>DR709</t>
  </si>
  <si>
    <t>DR710</t>
  </si>
  <si>
    <t>DR711</t>
  </si>
  <si>
    <t>DR712</t>
  </si>
  <si>
    <t>DR713</t>
  </si>
  <si>
    <t>DR714</t>
  </si>
  <si>
    <t>DR715</t>
  </si>
  <si>
    <t>DR716</t>
  </si>
  <si>
    <t>DR717</t>
  </si>
  <si>
    <t>DR718</t>
  </si>
  <si>
    <t>DR719</t>
  </si>
  <si>
    <t>DR720</t>
  </si>
  <si>
    <t>DR721</t>
  </si>
  <si>
    <t>DR722</t>
  </si>
  <si>
    <t>DR723</t>
  </si>
  <si>
    <t>DR724</t>
  </si>
  <si>
    <t>DR725</t>
  </si>
  <si>
    <t>DR726</t>
  </si>
  <si>
    <t>DR727</t>
  </si>
  <si>
    <t>DR728</t>
  </si>
  <si>
    <t>DR729</t>
  </si>
  <si>
    <t>DR730</t>
  </si>
  <si>
    <t>DR731</t>
  </si>
  <si>
    <t>DR732</t>
  </si>
  <si>
    <t>DR733</t>
  </si>
  <si>
    <t>DR734</t>
  </si>
  <si>
    <t>DR735</t>
  </si>
  <si>
    <t>DR736</t>
  </si>
  <si>
    <t>DR737</t>
  </si>
  <si>
    <t>DR738</t>
  </si>
  <si>
    <t>DR739</t>
  </si>
  <si>
    <t>DR740</t>
  </si>
  <si>
    <t>DR741</t>
  </si>
  <si>
    <t>DR742</t>
  </si>
  <si>
    <t>DR743</t>
  </si>
  <si>
    <t>DR744</t>
  </si>
  <si>
    <t>DR745</t>
  </si>
  <si>
    <t>DR746</t>
  </si>
  <si>
    <t>DR747</t>
  </si>
  <si>
    <t>DR748</t>
  </si>
  <si>
    <t>DR749</t>
  </si>
  <si>
    <t>DR750</t>
  </si>
  <si>
    <t>DR751</t>
  </si>
  <si>
    <t>DR752</t>
  </si>
  <si>
    <t>DR753</t>
  </si>
  <si>
    <t>DR754</t>
  </si>
  <si>
    <t>DR755</t>
  </si>
  <si>
    <t>DR756</t>
  </si>
  <si>
    <t>DR757</t>
  </si>
  <si>
    <t>DR758</t>
  </si>
  <si>
    <t>DR759</t>
  </si>
  <si>
    <t>DR760</t>
  </si>
  <si>
    <t>DR761</t>
  </si>
  <si>
    <t>DR762</t>
  </si>
  <si>
    <t>DR763</t>
  </si>
  <si>
    <t>DR764</t>
  </si>
  <si>
    <t>DR765</t>
  </si>
  <si>
    <t>DR766</t>
  </si>
  <si>
    <t>DR767</t>
  </si>
  <si>
    <t>DR768</t>
  </si>
  <si>
    <t>DR769</t>
  </si>
  <si>
    <t>DR770</t>
  </si>
  <si>
    <t>DR771</t>
  </si>
  <si>
    <t>DR772</t>
  </si>
  <si>
    <t>DR773</t>
  </si>
  <si>
    <t>DR774</t>
  </si>
  <si>
    <t>DR775</t>
  </si>
  <si>
    <t>DR776</t>
  </si>
  <si>
    <t>DR777</t>
  </si>
  <si>
    <t>DR778</t>
  </si>
  <si>
    <t>DR779</t>
  </si>
  <si>
    <t>DR780</t>
  </si>
  <si>
    <t>DR781</t>
  </si>
  <si>
    <t>DR782</t>
  </si>
  <si>
    <t>DR783</t>
  </si>
  <si>
    <t>DR784</t>
  </si>
  <si>
    <t>DR785</t>
  </si>
  <si>
    <t>DR786</t>
  </si>
  <si>
    <t>DR787</t>
  </si>
  <si>
    <t>DR788</t>
  </si>
  <si>
    <t>DR789</t>
  </si>
  <si>
    <t>DR790</t>
  </si>
  <si>
    <t>DR791</t>
  </si>
  <si>
    <t>DR792</t>
  </si>
  <si>
    <t>DR793</t>
  </si>
  <si>
    <t>DR794</t>
  </si>
  <si>
    <t>DR795</t>
  </si>
  <si>
    <t>DR796</t>
  </si>
  <si>
    <t>DR797</t>
  </si>
  <si>
    <t>DR798</t>
  </si>
  <si>
    <t>DR799</t>
  </si>
  <si>
    <t>DR800</t>
  </si>
  <si>
    <t>DR801</t>
  </si>
  <si>
    <t>DR802</t>
  </si>
  <si>
    <t>DR803</t>
  </si>
  <si>
    <t>DR804</t>
  </si>
  <si>
    <t>DR805</t>
  </si>
  <si>
    <t>DR806</t>
  </si>
  <si>
    <t>DR807</t>
  </si>
  <si>
    <t>DR808</t>
  </si>
  <si>
    <t>DR809</t>
  </si>
  <si>
    <t>DR810</t>
  </si>
  <si>
    <t>DR811</t>
  </si>
  <si>
    <t>DR812</t>
  </si>
  <si>
    <t>DR813</t>
  </si>
  <si>
    <t>DR814</t>
  </si>
  <si>
    <t>DR815</t>
  </si>
  <si>
    <t>DR816</t>
  </si>
  <si>
    <t>DR817</t>
  </si>
  <si>
    <t>DR818</t>
  </si>
  <si>
    <t>DR819</t>
  </si>
  <si>
    <t>DR820</t>
  </si>
  <si>
    <t>DR821</t>
  </si>
  <si>
    <t>DR822</t>
  </si>
  <si>
    <t>DR823</t>
  </si>
  <si>
    <t>DR824</t>
  </si>
  <si>
    <t>DR825</t>
  </si>
  <si>
    <t>DR826</t>
  </si>
  <si>
    <t>DR827</t>
  </si>
  <si>
    <t>DR828</t>
  </si>
  <si>
    <t>DR829</t>
  </si>
  <si>
    <t>DR830</t>
  </si>
  <si>
    <t>DR831</t>
  </si>
  <si>
    <t>DR832</t>
  </si>
  <si>
    <t>DR833</t>
  </si>
  <si>
    <t>DR834</t>
  </si>
  <si>
    <t>DR835</t>
  </si>
  <si>
    <t>DR836</t>
  </si>
  <si>
    <t>DR837</t>
  </si>
  <si>
    <t>DR838</t>
  </si>
  <si>
    <t>DR839</t>
  </si>
  <si>
    <t>DR840</t>
  </si>
  <si>
    <t>DR841</t>
  </si>
  <si>
    <t>DR842</t>
  </si>
  <si>
    <t>DR843</t>
  </si>
  <si>
    <t>DR844</t>
  </si>
  <si>
    <t>DR845</t>
  </si>
  <si>
    <t>DR846</t>
  </si>
  <si>
    <t>DR847</t>
  </si>
  <si>
    <t>DR848</t>
  </si>
  <si>
    <t>DR849</t>
  </si>
  <si>
    <t>DR850</t>
  </si>
  <si>
    <t>DR851</t>
  </si>
  <si>
    <t>DR852</t>
  </si>
  <si>
    <t>DR853</t>
  </si>
  <si>
    <t>DR854</t>
  </si>
  <si>
    <t>DR855</t>
  </si>
  <si>
    <t>DR856</t>
  </si>
  <si>
    <t>DR857</t>
  </si>
  <si>
    <t>DR858</t>
  </si>
  <si>
    <t>DR859</t>
  </si>
  <si>
    <t>DR860</t>
  </si>
  <si>
    <t>DR861</t>
  </si>
  <si>
    <t>DR862</t>
  </si>
  <si>
    <t>DR863</t>
  </si>
  <si>
    <t>DR864</t>
  </si>
  <si>
    <t>DR865</t>
  </si>
  <si>
    <t>DR866</t>
  </si>
  <si>
    <t>DR867</t>
  </si>
  <si>
    <t>DR868</t>
  </si>
  <si>
    <t>DR869</t>
  </si>
  <si>
    <t>DR870</t>
  </si>
  <si>
    <t>DR871</t>
  </si>
  <si>
    <t>DR872</t>
  </si>
  <si>
    <t>DR873</t>
  </si>
  <si>
    <t>DR874</t>
  </si>
  <si>
    <t>DR875</t>
  </si>
  <si>
    <t>DR876</t>
  </si>
  <si>
    <t>DR877</t>
  </si>
  <si>
    <t>DR878</t>
  </si>
  <si>
    <t>DR879</t>
  </si>
  <si>
    <t>DR880</t>
  </si>
  <si>
    <t>DR881</t>
  </si>
  <si>
    <t>DR882</t>
  </si>
  <si>
    <t>DR883</t>
  </si>
  <si>
    <t>DR884</t>
  </si>
  <si>
    <t>DR885</t>
  </si>
  <si>
    <t>DR886</t>
  </si>
  <si>
    <t>DR887</t>
  </si>
  <si>
    <t>DR888</t>
  </si>
  <si>
    <t>DR889</t>
  </si>
  <si>
    <t>DR890</t>
  </si>
  <si>
    <t>DR891</t>
  </si>
  <si>
    <t>DR892</t>
  </si>
  <si>
    <t>DR893</t>
  </si>
  <si>
    <t>DR894</t>
  </si>
  <si>
    <t>DR895</t>
  </si>
  <si>
    <t>DR896</t>
  </si>
  <si>
    <t>DR897</t>
  </si>
  <si>
    <t>DR898</t>
  </si>
  <si>
    <t>DR899</t>
  </si>
  <si>
    <t>DR900</t>
  </si>
  <si>
    <t>DR901</t>
  </si>
  <si>
    <t>DR902</t>
  </si>
  <si>
    <t>DR903</t>
  </si>
  <si>
    <t>DR904</t>
  </si>
  <si>
    <t>DR905</t>
  </si>
  <si>
    <t>DR906</t>
  </si>
  <si>
    <t>DR907</t>
  </si>
  <si>
    <t>DR908</t>
  </si>
  <si>
    <t>DR909</t>
  </si>
  <si>
    <t>DR910</t>
  </si>
  <si>
    <t>DR911</t>
  </si>
  <si>
    <t>DR912</t>
  </si>
  <si>
    <t>DR913</t>
  </si>
  <si>
    <t>DR914</t>
  </si>
  <si>
    <t>DR915</t>
  </si>
  <si>
    <t>DR916</t>
  </si>
  <si>
    <t>DR917</t>
  </si>
  <si>
    <t>DR918</t>
  </si>
  <si>
    <t>DR919</t>
  </si>
  <si>
    <t>DR920</t>
  </si>
  <si>
    <t>DR921</t>
  </si>
  <si>
    <t>DR922</t>
  </si>
  <si>
    <t>DR923</t>
  </si>
  <si>
    <t>DR924</t>
  </si>
  <si>
    <t>DR925</t>
  </si>
  <si>
    <t>DR926</t>
  </si>
  <si>
    <t>DR927</t>
  </si>
  <si>
    <t>DR928</t>
  </si>
  <si>
    <t>DR929</t>
  </si>
  <si>
    <t>DR930</t>
  </si>
  <si>
    <t>DR931</t>
  </si>
  <si>
    <t>DR932</t>
  </si>
  <si>
    <t>DR933</t>
  </si>
  <si>
    <t>DR934</t>
  </si>
  <si>
    <t>DR935</t>
  </si>
  <si>
    <t>DR936</t>
  </si>
  <si>
    <t>DR937</t>
  </si>
  <si>
    <t>DR938</t>
  </si>
  <si>
    <t>DR939</t>
  </si>
  <si>
    <t>DR940</t>
  </si>
  <si>
    <t>DR941</t>
  </si>
  <si>
    <t>DR942</t>
  </si>
  <si>
    <t>DR943</t>
  </si>
  <si>
    <t>DR944</t>
  </si>
  <si>
    <t>DR945</t>
  </si>
  <si>
    <t>DR946</t>
  </si>
  <si>
    <t>DR947</t>
  </si>
  <si>
    <t>DR948</t>
  </si>
  <si>
    <t>DR949</t>
  </si>
  <si>
    <t>DR950</t>
  </si>
  <si>
    <t>DR951</t>
  </si>
  <si>
    <t>DR952</t>
  </si>
  <si>
    <t>DR953</t>
  </si>
  <si>
    <t>DR954</t>
  </si>
  <si>
    <t>DR955</t>
  </si>
  <si>
    <t>DR956</t>
  </si>
  <si>
    <t>DR957</t>
  </si>
  <si>
    <t>DR958</t>
  </si>
  <si>
    <t>DR959</t>
  </si>
  <si>
    <t>DR960</t>
  </si>
  <si>
    <t>DR961</t>
  </si>
  <si>
    <t>DR962</t>
  </si>
  <si>
    <t>DR963</t>
  </si>
  <si>
    <t>DR964</t>
  </si>
  <si>
    <t>DR965</t>
  </si>
  <si>
    <t>DR966</t>
  </si>
  <si>
    <t>DR967</t>
  </si>
  <si>
    <t>DR968</t>
  </si>
  <si>
    <t>DR969</t>
  </si>
  <si>
    <t>DR970</t>
  </si>
  <si>
    <t>DR971</t>
  </si>
  <si>
    <t>DR972</t>
  </si>
  <si>
    <t>DR973</t>
  </si>
  <si>
    <t>DR974</t>
  </si>
  <si>
    <t>DR975</t>
  </si>
  <si>
    <t>DR976</t>
  </si>
  <si>
    <t>DR977</t>
  </si>
  <si>
    <t>DR978</t>
  </si>
  <si>
    <t>DR979</t>
  </si>
  <si>
    <t>DR980</t>
  </si>
  <si>
    <t>DR981</t>
  </si>
  <si>
    <t>DR982</t>
  </si>
  <si>
    <t>DR983</t>
  </si>
  <si>
    <t>DR984</t>
  </si>
  <si>
    <t>DR985</t>
  </si>
  <si>
    <t>DR986</t>
  </si>
  <si>
    <t>DR987</t>
  </si>
  <si>
    <t>DR988</t>
  </si>
  <si>
    <t>DR989</t>
  </si>
  <si>
    <t>DR990</t>
  </si>
  <si>
    <t>DR991</t>
  </si>
  <si>
    <t>DR992</t>
  </si>
  <si>
    <t>DR993</t>
  </si>
  <si>
    <t>DR994</t>
  </si>
  <si>
    <t>DR995</t>
  </si>
  <si>
    <t>DR996</t>
  </si>
  <si>
    <t>DR997</t>
  </si>
  <si>
    <t>DR998</t>
  </si>
  <si>
    <t>DR999</t>
  </si>
  <si>
    <t>DR1000</t>
  </si>
  <si>
    <t>DR1001</t>
  </si>
  <si>
    <t>Discount 102</t>
  </si>
  <si>
    <t>Discount 103</t>
  </si>
  <si>
    <t>Discount 104</t>
  </si>
  <si>
    <t>Discount 105</t>
  </si>
  <si>
    <t>Discount 106</t>
  </si>
  <si>
    <t>Discount 107</t>
  </si>
  <si>
    <t>Discount 108</t>
  </si>
  <si>
    <t>Discount 109</t>
  </si>
  <si>
    <t>Discount 110</t>
  </si>
  <si>
    <t>Discount 111</t>
  </si>
  <si>
    <t>Discount 112</t>
  </si>
  <si>
    <t>Discount 113</t>
  </si>
  <si>
    <t>Discount 114</t>
  </si>
  <si>
    <t>Discount 115</t>
  </si>
  <si>
    <t>Discount 116</t>
  </si>
  <si>
    <t>Discount 117</t>
  </si>
  <si>
    <t>Discount 118</t>
  </si>
  <si>
    <t>Discount 119</t>
  </si>
  <si>
    <t>Discount 120</t>
  </si>
  <si>
    <t>Discount 121</t>
  </si>
  <si>
    <t>Discount 122</t>
  </si>
  <si>
    <t>Discount 123</t>
  </si>
  <si>
    <t>Discount 124</t>
  </si>
  <si>
    <t>Discount 125</t>
  </si>
  <si>
    <t>Discount 126</t>
  </si>
  <si>
    <t>Discount 127</t>
  </si>
  <si>
    <t>Discount 128</t>
  </si>
  <si>
    <t>Discount 129</t>
  </si>
  <si>
    <t>Discount 130</t>
  </si>
  <si>
    <t>Discount 131</t>
  </si>
  <si>
    <t>Discount 132</t>
  </si>
  <si>
    <t>Discount 133</t>
  </si>
  <si>
    <t>Discount 134</t>
  </si>
  <si>
    <t>Discount 135</t>
  </si>
  <si>
    <t>Discount 136</t>
  </si>
  <si>
    <t>Discount 137</t>
  </si>
  <si>
    <t>Discount 138</t>
  </si>
  <si>
    <t>Discount 139</t>
  </si>
  <si>
    <t>Discount 140</t>
  </si>
  <si>
    <t>Discount 141</t>
  </si>
  <si>
    <t>Discount 142</t>
  </si>
  <si>
    <t>Discount 143</t>
  </si>
  <si>
    <t>Discount 144</t>
  </si>
  <si>
    <t>Discount 145</t>
  </si>
  <si>
    <t>Discount 146</t>
  </si>
  <si>
    <t>Discount 147</t>
  </si>
  <si>
    <t>Discount 148</t>
  </si>
  <si>
    <t>Discount 149</t>
  </si>
  <si>
    <t>Discount 150</t>
  </si>
  <si>
    <t>Discount 151</t>
  </si>
  <si>
    <t>Discount 152</t>
  </si>
  <si>
    <t>Discount 153</t>
  </si>
  <si>
    <t>Discount 154</t>
  </si>
  <si>
    <t>Discount 155</t>
  </si>
  <si>
    <t>Discount 156</t>
  </si>
  <si>
    <t>Discount 157</t>
  </si>
  <si>
    <t>Discount 158</t>
  </si>
  <si>
    <t>Discount 159</t>
  </si>
  <si>
    <t>Discount 160</t>
  </si>
  <si>
    <t>Discount 161</t>
  </si>
  <si>
    <t>Discount 162</t>
  </si>
  <si>
    <t>Discount 163</t>
  </si>
  <si>
    <t>Discount 164</t>
  </si>
  <si>
    <t>Discount 165</t>
  </si>
  <si>
    <t>Discount 166</t>
  </si>
  <si>
    <t>Discount 167</t>
  </si>
  <si>
    <t>Discount 168</t>
  </si>
  <si>
    <t>Discount 169</t>
  </si>
  <si>
    <t>Discount 170</t>
  </si>
  <si>
    <t>Discount 171</t>
  </si>
  <si>
    <t>Discount 172</t>
  </si>
  <si>
    <t>Discount 173</t>
  </si>
  <si>
    <t>Discount 174</t>
  </si>
  <si>
    <t>Discount 175</t>
  </si>
  <si>
    <t>Discount 176</t>
  </si>
  <si>
    <t>Discount 177</t>
  </si>
  <si>
    <t>Discount 178</t>
  </si>
  <si>
    <t>Discount 179</t>
  </si>
  <si>
    <t>Discount 180</t>
  </si>
  <si>
    <t>Discount 181</t>
  </si>
  <si>
    <t>Discount 182</t>
  </si>
  <si>
    <t>Discount 183</t>
  </si>
  <si>
    <t>Discount 184</t>
  </si>
  <si>
    <t>Discount 185</t>
  </si>
  <si>
    <t>Discount 186</t>
  </si>
  <si>
    <t>Discount 187</t>
  </si>
  <si>
    <t>Discount 188</t>
  </si>
  <si>
    <t>Discount 189</t>
  </si>
  <si>
    <t>Discount 190</t>
  </si>
  <si>
    <t>Discount 191</t>
  </si>
  <si>
    <t>Discount 192</t>
  </si>
  <si>
    <t>Discount 193</t>
  </si>
  <si>
    <t>Discount 194</t>
  </si>
  <si>
    <t>Discount 195</t>
  </si>
  <si>
    <t>Discount 196</t>
  </si>
  <si>
    <t>Discount 197</t>
  </si>
  <si>
    <t>Discount 198</t>
  </si>
  <si>
    <t>Discount 199</t>
  </si>
  <si>
    <t>Discount 200</t>
  </si>
  <si>
    <t>Discount 201</t>
  </si>
  <si>
    <t>Discount 202</t>
  </si>
  <si>
    <t>Discount 203</t>
  </si>
  <si>
    <t>Discount 204</t>
  </si>
  <si>
    <t>Discount 205</t>
  </si>
  <si>
    <t>Discount 206</t>
  </si>
  <si>
    <t>Discount 207</t>
  </si>
  <si>
    <t>Discount 208</t>
  </si>
  <si>
    <t>Discount 209</t>
  </si>
  <si>
    <t>Discount 210</t>
  </si>
  <si>
    <t>Discount 211</t>
  </si>
  <si>
    <t>Discount 212</t>
  </si>
  <si>
    <t>Discount 213</t>
  </si>
  <si>
    <t>Discount 214</t>
  </si>
  <si>
    <t>Discount 215</t>
  </si>
  <si>
    <t>Discount 216</t>
  </si>
  <si>
    <t>Discount 217</t>
  </si>
  <si>
    <t>Discount 218</t>
  </si>
  <si>
    <t>Discount 219</t>
  </si>
  <si>
    <t>Discount 220</t>
  </si>
  <si>
    <t>Discount 221</t>
  </si>
  <si>
    <t>Discount 222</t>
  </si>
  <si>
    <t>Discount 223</t>
  </si>
  <si>
    <t>Discount 224</t>
  </si>
  <si>
    <t>Discount 225</t>
  </si>
  <si>
    <t>Discount 226</t>
  </si>
  <si>
    <t>Discount 227</t>
  </si>
  <si>
    <t>Discount 228</t>
  </si>
  <si>
    <t>Discount 229</t>
  </si>
  <si>
    <t>Discount 230</t>
  </si>
  <si>
    <t>Discount 231</t>
  </si>
  <si>
    <t>Discount 232</t>
  </si>
  <si>
    <t>Discount 233</t>
  </si>
  <si>
    <t>Discount 234</t>
  </si>
  <si>
    <t>Discount 235</t>
  </si>
  <si>
    <t>Discount 236</t>
  </si>
  <si>
    <t>Discount 237</t>
  </si>
  <si>
    <t>Discount 238</t>
  </si>
  <si>
    <t>Discount 239</t>
  </si>
  <si>
    <t>Discount 240</t>
  </si>
  <si>
    <t>Discount 241</t>
  </si>
  <si>
    <t>Discount 242</t>
  </si>
  <si>
    <t>Discount 243</t>
  </si>
  <si>
    <t>Discount 244</t>
  </si>
  <si>
    <t>Discount 245</t>
  </si>
  <si>
    <t>Discount 246</t>
  </si>
  <si>
    <t>Discount 247</t>
  </si>
  <si>
    <t>Discount 248</t>
  </si>
  <si>
    <t>Discount 249</t>
  </si>
  <si>
    <t>Discount 250</t>
  </si>
  <si>
    <t>Discount 251</t>
  </si>
  <si>
    <t>Discount 252</t>
  </si>
  <si>
    <t>Discount 253</t>
  </si>
  <si>
    <t>Discount 254</t>
  </si>
  <si>
    <t>Discount 255</t>
  </si>
  <si>
    <t>Discount 256</t>
  </si>
  <si>
    <t>Discount 257</t>
  </si>
  <si>
    <t>Discount 258</t>
  </si>
  <si>
    <t>Discount 259</t>
  </si>
  <si>
    <t>Discount 260</t>
  </si>
  <si>
    <t>Discount 261</t>
  </si>
  <si>
    <t>Discount 262</t>
  </si>
  <si>
    <t>Discount 263</t>
  </si>
  <si>
    <t>Discount 264</t>
  </si>
  <si>
    <t>Discount 265</t>
  </si>
  <si>
    <t>Discount 266</t>
  </si>
  <si>
    <t>Discount 267</t>
  </si>
  <si>
    <t>Discount 268</t>
  </si>
  <si>
    <t>Discount 269</t>
  </si>
  <si>
    <t>Discount 270</t>
  </si>
  <si>
    <t>Discount 271</t>
  </si>
  <si>
    <t>Discount 272</t>
  </si>
  <si>
    <t>Discount 273</t>
  </si>
  <si>
    <t>Discount 274</t>
  </si>
  <si>
    <t>Discount 275</t>
  </si>
  <si>
    <t>Discount 276</t>
  </si>
  <si>
    <t>Discount 277</t>
  </si>
  <si>
    <t>Discount 278</t>
  </si>
  <si>
    <t>Discount 279</t>
  </si>
  <si>
    <t>Discount 280</t>
  </si>
  <si>
    <t>Discount 281</t>
  </si>
  <si>
    <t>Discount 282</t>
  </si>
  <si>
    <t>Discount 283</t>
  </si>
  <si>
    <t>Discount 284</t>
  </si>
  <si>
    <t>Discount 285</t>
  </si>
  <si>
    <t>Discount 286</t>
  </si>
  <si>
    <t>Discount 287</t>
  </si>
  <si>
    <t>Discount 288</t>
  </si>
  <si>
    <t>Discount 289</t>
  </si>
  <si>
    <t>Discount 290</t>
  </si>
  <si>
    <t>Discount 291</t>
  </si>
  <si>
    <t>Discount 292</t>
  </si>
  <si>
    <t>Discount 293</t>
  </si>
  <si>
    <t>Discount 294</t>
  </si>
  <si>
    <t>Discount 295</t>
  </si>
  <si>
    <t>Discount 296</t>
  </si>
  <si>
    <t>Discount 297</t>
  </si>
  <si>
    <t>Discount 298</t>
  </si>
  <si>
    <t>Discount 299</t>
  </si>
  <si>
    <t>Discount 300</t>
  </si>
  <si>
    <t>Discount 301</t>
  </si>
  <si>
    <t>Discount 302</t>
  </si>
  <si>
    <t>Discount 303</t>
  </si>
  <si>
    <t>Discount 304</t>
  </si>
  <si>
    <t>Discount 305</t>
  </si>
  <si>
    <t>Discount 306</t>
  </si>
  <si>
    <t>Discount 307</t>
  </si>
  <si>
    <t>Discount 308</t>
  </si>
  <si>
    <t>Discount 309</t>
  </si>
  <si>
    <t>Discount 310</t>
  </si>
  <si>
    <t>Discount 311</t>
  </si>
  <si>
    <t>Discount 312</t>
  </si>
  <si>
    <t>Discount 313</t>
  </si>
  <si>
    <t>Discount 314</t>
  </si>
  <si>
    <t>Discount 315</t>
  </si>
  <si>
    <t>Discount 316</t>
  </si>
  <si>
    <t>Discount 317</t>
  </si>
  <si>
    <t>Discount 318</t>
  </si>
  <si>
    <t>Discount 319</t>
  </si>
  <si>
    <t>Discount 320</t>
  </si>
  <si>
    <t>Discount 321</t>
  </si>
  <si>
    <t>Discount 322</t>
  </si>
  <si>
    <t>Discount 323</t>
  </si>
  <si>
    <t>Discount 324</t>
  </si>
  <si>
    <t>Discount 325</t>
  </si>
  <si>
    <t>Discount 326</t>
  </si>
  <si>
    <t>Discount 327</t>
  </si>
  <si>
    <t>Discount 328</t>
  </si>
  <si>
    <t>Discount 329</t>
  </si>
  <si>
    <t>Discount 330</t>
  </si>
  <si>
    <t>Discount 331</t>
  </si>
  <si>
    <t>Discount 332</t>
  </si>
  <si>
    <t>Discount 333</t>
  </si>
  <si>
    <t>Discount 334</t>
  </si>
  <si>
    <t>Discount 335</t>
  </si>
  <si>
    <t>Discount 336</t>
  </si>
  <si>
    <t>Discount 337</t>
  </si>
  <si>
    <t>Discount 338</t>
  </si>
  <si>
    <t>Discount 339</t>
  </si>
  <si>
    <t>Discount 340</t>
  </si>
  <si>
    <t>Discount 341</t>
  </si>
  <si>
    <t>Discount 342</t>
  </si>
  <si>
    <t>Discount 343</t>
  </si>
  <si>
    <t>Discount 344</t>
  </si>
  <si>
    <t>Discount 345</t>
  </si>
  <si>
    <t>Discount 346</t>
  </si>
  <si>
    <t>Discount 347</t>
  </si>
  <si>
    <t>Discount 348</t>
  </si>
  <si>
    <t>Discount 349</t>
  </si>
  <si>
    <t>Discount 350</t>
  </si>
  <si>
    <t>Discount 351</t>
  </si>
  <si>
    <t>Discount 352</t>
  </si>
  <si>
    <t>Discount 353</t>
  </si>
  <si>
    <t>Discount 354</t>
  </si>
  <si>
    <t>Discount 355</t>
  </si>
  <si>
    <t>Discount 356</t>
  </si>
  <si>
    <t>Discount 357</t>
  </si>
  <si>
    <t>Discount 358</t>
  </si>
  <si>
    <t>Discount 359</t>
  </si>
  <si>
    <t>Discount 360</t>
  </si>
  <si>
    <t>Discount 361</t>
  </si>
  <si>
    <t>Discount 362</t>
  </si>
  <si>
    <t>Discount 363</t>
  </si>
  <si>
    <t>Discount 364</t>
  </si>
  <si>
    <t>Discount 365</t>
  </si>
  <si>
    <t>Discount 366</t>
  </si>
  <si>
    <t>Discount 367</t>
  </si>
  <si>
    <t>Discount 368</t>
  </si>
  <si>
    <t>Discount 369</t>
  </si>
  <si>
    <t>Discount 370</t>
  </si>
  <si>
    <t>Discount 371</t>
  </si>
  <si>
    <t>Discount 372</t>
  </si>
  <si>
    <t>Discount 373</t>
  </si>
  <si>
    <t>Discount 374</t>
  </si>
  <si>
    <t>Discount 375</t>
  </si>
  <si>
    <t>Discount 376</t>
  </si>
  <si>
    <t>Discount 377</t>
  </si>
  <si>
    <t>Discount 378</t>
  </si>
  <si>
    <t>Discount 379</t>
  </si>
  <si>
    <t>Discount 380</t>
  </si>
  <si>
    <t>Discount 381</t>
  </si>
  <si>
    <t>Discount 382</t>
  </si>
  <si>
    <t>Discount 383</t>
  </si>
  <si>
    <t>Discount 384</t>
  </si>
  <si>
    <t>Discount 385</t>
  </si>
  <si>
    <t>Discount 386</t>
  </si>
  <si>
    <t>Discount 387</t>
  </si>
  <si>
    <t>Discount 388</t>
  </si>
  <si>
    <t>Discount 389</t>
  </si>
  <si>
    <t>Discount 390</t>
  </si>
  <si>
    <t>Discount 391</t>
  </si>
  <si>
    <t>Discount 392</t>
  </si>
  <si>
    <t>Discount 393</t>
  </si>
  <si>
    <t>Discount 394</t>
  </si>
  <si>
    <t>Discount 395</t>
  </si>
  <si>
    <t>Discount 396</t>
  </si>
  <si>
    <t>Discount 397</t>
  </si>
  <si>
    <t>Discount 398</t>
  </si>
  <si>
    <t>Discount 399</t>
  </si>
  <si>
    <t>Discount 400</t>
  </si>
  <si>
    <t>Discount 401</t>
  </si>
  <si>
    <t>Discount 402</t>
  </si>
  <si>
    <t>Discount 403</t>
  </si>
  <si>
    <t>Discount 404</t>
  </si>
  <si>
    <t>Discount 405</t>
  </si>
  <si>
    <t>Discount 406</t>
  </si>
  <si>
    <t>Discount 407</t>
  </si>
  <si>
    <t>Discount 408</t>
  </si>
  <si>
    <t>Discount 409</t>
  </si>
  <si>
    <t>Discount 410</t>
  </si>
  <si>
    <t>Discount 411</t>
  </si>
  <si>
    <t>Discount 412</t>
  </si>
  <si>
    <t>Discount 413</t>
  </si>
  <si>
    <t>Discount 414</t>
  </si>
  <si>
    <t>Discount 415</t>
  </si>
  <si>
    <t>Discount 416</t>
  </si>
  <si>
    <t>Discount 417</t>
  </si>
  <si>
    <t>Discount 418</t>
  </si>
  <si>
    <t>Discount 419</t>
  </si>
  <si>
    <t>Discount 420</t>
  </si>
  <si>
    <t>Discount 421</t>
  </si>
  <si>
    <t>Discount 422</t>
  </si>
  <si>
    <t>Discount 423</t>
  </si>
  <si>
    <t>Discount 424</t>
  </si>
  <si>
    <t>Discount 425</t>
  </si>
  <si>
    <t>Discount 426</t>
  </si>
  <si>
    <t>Discount 427</t>
  </si>
  <si>
    <t>Discount 428</t>
  </si>
  <si>
    <t>Discount 429</t>
  </si>
  <si>
    <t>Discount 430</t>
  </si>
  <si>
    <t>Discount 431</t>
  </si>
  <si>
    <t>Discount 432</t>
  </si>
  <si>
    <t>Discount 433</t>
  </si>
  <si>
    <t>Discount 434</t>
  </si>
  <si>
    <t>Discount 435</t>
  </si>
  <si>
    <t>Discount 436</t>
  </si>
  <si>
    <t>Discount 437</t>
  </si>
  <si>
    <t>Discount 438</t>
  </si>
  <si>
    <t>Discount 439</t>
  </si>
  <si>
    <t>Discount 440</t>
  </si>
  <si>
    <t>Discount 441</t>
  </si>
  <si>
    <t>Discount 442</t>
  </si>
  <si>
    <t>Discount 443</t>
  </si>
  <si>
    <t>Discount 444</t>
  </si>
  <si>
    <t>Discount 445</t>
  </si>
  <si>
    <t>Discount 446</t>
  </si>
  <si>
    <t>Discount 447</t>
  </si>
  <si>
    <t>Discount 448</t>
  </si>
  <si>
    <t>Discount 449</t>
  </si>
  <si>
    <t>Discount 450</t>
  </si>
  <si>
    <t>Discount 451</t>
  </si>
  <si>
    <t>Discount 452</t>
  </si>
  <si>
    <t>Discount 453</t>
  </si>
  <si>
    <t>Discount 454</t>
  </si>
  <si>
    <t>Discount 455</t>
  </si>
  <si>
    <t>Discount 456</t>
  </si>
  <si>
    <t>Discount 457</t>
  </si>
  <si>
    <t>Discount 458</t>
  </si>
  <si>
    <t>Discount 459</t>
  </si>
  <si>
    <t>Discount 460</t>
  </si>
  <si>
    <t>Discount 461</t>
  </si>
  <si>
    <t>Discount 462</t>
  </si>
  <si>
    <t>Discount 463</t>
  </si>
  <si>
    <t>Discount 464</t>
  </si>
  <si>
    <t>Discount 465</t>
  </si>
  <si>
    <t>Discount 466</t>
  </si>
  <si>
    <t>Discount 467</t>
  </si>
  <si>
    <t>Discount 468</t>
  </si>
  <si>
    <t>Discount 469</t>
  </si>
  <si>
    <t>Discount 470</t>
  </si>
  <si>
    <t>Discount 471</t>
  </si>
  <si>
    <t>Discount 472</t>
  </si>
  <si>
    <t>Discount 473</t>
  </si>
  <si>
    <t>Discount 474</t>
  </si>
  <si>
    <t>Discount 475</t>
  </si>
  <si>
    <t>Discount 476</t>
  </si>
  <si>
    <t>Discount 477</t>
  </si>
  <si>
    <t>Discount 478</t>
  </si>
  <si>
    <t>Discount 479</t>
  </si>
  <si>
    <t>Discount 480</t>
  </si>
  <si>
    <t>Discount 481</t>
  </si>
  <si>
    <t>Discount 482</t>
  </si>
  <si>
    <t>Discount 483</t>
  </si>
  <si>
    <t>Discount 484</t>
  </si>
  <si>
    <t>Discount 485</t>
  </si>
  <si>
    <t>Discount 486</t>
  </si>
  <si>
    <t>Discount 487</t>
  </si>
  <si>
    <t>Discount 488</t>
  </si>
  <si>
    <t>Discount 489</t>
  </si>
  <si>
    <t>Discount 490</t>
  </si>
  <si>
    <t>Discount 491</t>
  </si>
  <si>
    <t>Discount 492</t>
  </si>
  <si>
    <t>Discount 493</t>
  </si>
  <si>
    <t>Discount 494</t>
  </si>
  <si>
    <t>Discount 495</t>
  </si>
  <si>
    <t>Discount 496</t>
  </si>
  <si>
    <t>Discount 497</t>
  </si>
  <si>
    <t>Discount 498</t>
  </si>
  <si>
    <t>Discount 499</t>
  </si>
  <si>
    <t>Discount 500</t>
  </si>
  <si>
    <t>Discount 501</t>
  </si>
  <si>
    <t>Discount 502</t>
  </si>
  <si>
    <t>Discount 503</t>
  </si>
  <si>
    <t>Discount 504</t>
  </si>
  <si>
    <t>Discount 505</t>
  </si>
  <si>
    <t>Discount 506</t>
  </si>
  <si>
    <t>Discount 507</t>
  </si>
  <si>
    <t>Discount 508</t>
  </si>
  <si>
    <t>Discount 509</t>
  </si>
  <si>
    <t>Discount 510</t>
  </si>
  <si>
    <t>Discount 511</t>
  </si>
  <si>
    <t>Discount 512</t>
  </si>
  <si>
    <t>Discount 513</t>
  </si>
  <si>
    <t>Discount 514</t>
  </si>
  <si>
    <t>Discount 515</t>
  </si>
  <si>
    <t>Discount 516</t>
  </si>
  <si>
    <t>Discount 517</t>
  </si>
  <si>
    <t>Discount 518</t>
  </si>
  <si>
    <t>Discount 519</t>
  </si>
  <si>
    <t>Discount 520</t>
  </si>
  <si>
    <t>Discount 521</t>
  </si>
  <si>
    <t>Discount 522</t>
  </si>
  <si>
    <t>Discount 523</t>
  </si>
  <si>
    <t>Discount 524</t>
  </si>
  <si>
    <t>Discount 525</t>
  </si>
  <si>
    <t>Discount 526</t>
  </si>
  <si>
    <t>Discount 527</t>
  </si>
  <si>
    <t>Discount 528</t>
  </si>
  <si>
    <t>Discount 529</t>
  </si>
  <si>
    <t>Discount 530</t>
  </si>
  <si>
    <t>Discount 531</t>
  </si>
  <si>
    <t>Discount 532</t>
  </si>
  <si>
    <t>Discount 533</t>
  </si>
  <si>
    <t>Discount 534</t>
  </si>
  <si>
    <t>Discount 535</t>
  </si>
  <si>
    <t>Discount 536</t>
  </si>
  <si>
    <t>Discount 537</t>
  </si>
  <si>
    <t>Discount 538</t>
  </si>
  <si>
    <t>Discount 539</t>
  </si>
  <si>
    <t>Discount 540</t>
  </si>
  <si>
    <t>Discount 541</t>
  </si>
  <si>
    <t>Discount 542</t>
  </si>
  <si>
    <t>Discount 543</t>
  </si>
  <si>
    <t>Discount 544</t>
  </si>
  <si>
    <t>Discount 545</t>
  </si>
  <si>
    <t>Discount 546</t>
  </si>
  <si>
    <t>Discount 547</t>
  </si>
  <si>
    <t>Discount 548</t>
  </si>
  <si>
    <t>Discount 549</t>
  </si>
  <si>
    <t>Discount 550</t>
  </si>
  <si>
    <t>Discount 551</t>
  </si>
  <si>
    <t>Discount 552</t>
  </si>
  <si>
    <t>Discount 553</t>
  </si>
  <si>
    <t>Discount 554</t>
  </si>
  <si>
    <t>Discount 555</t>
  </si>
  <si>
    <t>Discount 556</t>
  </si>
  <si>
    <t>Discount 557</t>
  </si>
  <si>
    <t>Discount 558</t>
  </si>
  <si>
    <t>Discount 559</t>
  </si>
  <si>
    <t>Discount 560</t>
  </si>
  <si>
    <t>Discount 561</t>
  </si>
  <si>
    <t>Discount 562</t>
  </si>
  <si>
    <t>Discount 563</t>
  </si>
  <si>
    <t>Discount 564</t>
  </si>
  <si>
    <t>Discount 565</t>
  </si>
  <si>
    <t>Discount 566</t>
  </si>
  <si>
    <t>Discount 567</t>
  </si>
  <si>
    <t>Discount 568</t>
  </si>
  <si>
    <t>Discount 569</t>
  </si>
  <si>
    <t>Discount 570</t>
  </si>
  <si>
    <t>Discount 571</t>
  </si>
  <si>
    <t>Discount 572</t>
  </si>
  <si>
    <t>Discount 573</t>
  </si>
  <si>
    <t>Discount 574</t>
  </si>
  <si>
    <t>Discount 575</t>
  </si>
  <si>
    <t>Discount 576</t>
  </si>
  <si>
    <t>Discount 577</t>
  </si>
  <si>
    <t>Discount 578</t>
  </si>
  <si>
    <t>Discount 579</t>
  </si>
  <si>
    <t>Discount 580</t>
  </si>
  <si>
    <t>Discount 581</t>
  </si>
  <si>
    <t>Discount 582</t>
  </si>
  <si>
    <t>Discount 583</t>
  </si>
  <si>
    <t>Discount 584</t>
  </si>
  <si>
    <t>Discount 585</t>
  </si>
  <si>
    <t>Discount 586</t>
  </si>
  <si>
    <t>Discount 587</t>
  </si>
  <si>
    <t>Discount 588</t>
  </si>
  <si>
    <t>Discount 589</t>
  </si>
  <si>
    <t>Discount 590</t>
  </si>
  <si>
    <t>Discount 591</t>
  </si>
  <si>
    <t>Discount 592</t>
  </si>
  <si>
    <t>Discount 593</t>
  </si>
  <si>
    <t>Discount 594</t>
  </si>
  <si>
    <t>Discount 595</t>
  </si>
  <si>
    <t>Discount 596</t>
  </si>
  <si>
    <t>Discount 597</t>
  </si>
  <si>
    <t>Discount 598</t>
  </si>
  <si>
    <t>Discount 599</t>
  </si>
  <si>
    <t>Discount 600</t>
  </si>
  <si>
    <t>Discount 601</t>
  </si>
  <si>
    <t>Discount 602</t>
  </si>
  <si>
    <t>Discount 603</t>
  </si>
  <si>
    <t>Discount 604</t>
  </si>
  <si>
    <t>Discount 605</t>
  </si>
  <si>
    <t>Discount 606</t>
  </si>
  <si>
    <t>Discount 607</t>
  </si>
  <si>
    <t>Discount 608</t>
  </si>
  <si>
    <t>Discount 609</t>
  </si>
  <si>
    <t>Discount 610</t>
  </si>
  <si>
    <t>Discount 611</t>
  </si>
  <si>
    <t>Discount 612</t>
  </si>
  <si>
    <t>Discount 613</t>
  </si>
  <si>
    <t>Discount 614</t>
  </si>
  <si>
    <t>Discount 615</t>
  </si>
  <si>
    <t>Discount 616</t>
  </si>
  <si>
    <t>Discount 617</t>
  </si>
  <si>
    <t>Discount 618</t>
  </si>
  <si>
    <t>Discount 619</t>
  </si>
  <si>
    <t>Discount 620</t>
  </si>
  <si>
    <t>Discount 621</t>
  </si>
  <si>
    <t>Discount 622</t>
  </si>
  <si>
    <t>Discount 623</t>
  </si>
  <si>
    <t>Discount 624</t>
  </si>
  <si>
    <t>Discount 625</t>
  </si>
  <si>
    <t>Discount 626</t>
  </si>
  <si>
    <t>Discount 627</t>
  </si>
  <si>
    <t>Discount 628</t>
  </si>
  <si>
    <t>Discount 629</t>
  </si>
  <si>
    <t>Discount 630</t>
  </si>
  <si>
    <t>Discount 631</t>
  </si>
  <si>
    <t>Discount 632</t>
  </si>
  <si>
    <t>Discount 633</t>
  </si>
  <si>
    <t>Discount 634</t>
  </si>
  <si>
    <t>Discount 635</t>
  </si>
  <si>
    <t>Discount 636</t>
  </si>
  <si>
    <t>Discount 637</t>
  </si>
  <si>
    <t>Discount 638</t>
  </si>
  <si>
    <t>Discount 639</t>
  </si>
  <si>
    <t>Discount 640</t>
  </si>
  <si>
    <t>Discount 641</t>
  </si>
  <si>
    <t>Discount 642</t>
  </si>
  <si>
    <t>Discount 643</t>
  </si>
  <si>
    <t>Discount 644</t>
  </si>
  <si>
    <t>Discount 645</t>
  </si>
  <si>
    <t>Discount 646</t>
  </si>
  <si>
    <t>Discount 647</t>
  </si>
  <si>
    <t>Discount 648</t>
  </si>
  <si>
    <t>Discount 649</t>
  </si>
  <si>
    <t>Discount 650</t>
  </si>
  <si>
    <t>Discount 651</t>
  </si>
  <si>
    <t>Discount 652</t>
  </si>
  <si>
    <t>Discount 653</t>
  </si>
  <si>
    <t>Discount 654</t>
  </si>
  <si>
    <t>Discount 655</t>
  </si>
  <si>
    <t>Discount 656</t>
  </si>
  <si>
    <t>Discount 657</t>
  </si>
  <si>
    <t>Discount 658</t>
  </si>
  <si>
    <t>Discount 659</t>
  </si>
  <si>
    <t>Discount 660</t>
  </si>
  <si>
    <t>Discount 661</t>
  </si>
  <si>
    <t>Discount 662</t>
  </si>
  <si>
    <t>Discount 663</t>
  </si>
  <si>
    <t>Discount 664</t>
  </si>
  <si>
    <t>Discount 665</t>
  </si>
  <si>
    <t>Discount 666</t>
  </si>
  <si>
    <t>Discount 667</t>
  </si>
  <si>
    <t>Discount 668</t>
  </si>
  <si>
    <t>Discount 669</t>
  </si>
  <si>
    <t>Discount 670</t>
  </si>
  <si>
    <t>Discount 671</t>
  </si>
  <si>
    <t>Discount 672</t>
  </si>
  <si>
    <t>Discount 673</t>
  </si>
  <si>
    <t>Discount 674</t>
  </si>
  <si>
    <t>Discount 675</t>
  </si>
  <si>
    <t>Discount 676</t>
  </si>
  <si>
    <t>Discount 677</t>
  </si>
  <si>
    <t>Discount 678</t>
  </si>
  <si>
    <t>Discount 679</t>
  </si>
  <si>
    <t>Discount 680</t>
  </si>
  <si>
    <t>Discount 681</t>
  </si>
  <si>
    <t>Discount 682</t>
  </si>
  <si>
    <t>Discount 683</t>
  </si>
  <si>
    <t>Discount 684</t>
  </si>
  <si>
    <t>Discount 685</t>
  </si>
  <si>
    <t>Discount 686</t>
  </si>
  <si>
    <t>Discount 687</t>
  </si>
  <si>
    <t>Discount 688</t>
  </si>
  <si>
    <t>Discount 689</t>
  </si>
  <si>
    <t>Discount 690</t>
  </si>
  <si>
    <t>Discount 691</t>
  </si>
  <si>
    <t>Discount 692</t>
  </si>
  <si>
    <t>Discount 693</t>
  </si>
  <si>
    <t>Discount 694</t>
  </si>
  <si>
    <t>Discount 695</t>
  </si>
  <si>
    <t>Discount 696</t>
  </si>
  <si>
    <t>Discount 697</t>
  </si>
  <si>
    <t>Discount 698</t>
  </si>
  <si>
    <t>Discount 699</t>
  </si>
  <si>
    <t>Discount 700</t>
  </si>
  <si>
    <t>Discount 701</t>
  </si>
  <si>
    <t>Discount 702</t>
  </si>
  <si>
    <t>Discount 703</t>
  </si>
  <si>
    <t>Discount 704</t>
  </si>
  <si>
    <t>Discount 705</t>
  </si>
  <si>
    <t>Discount 706</t>
  </si>
  <si>
    <t>Discount 707</t>
  </si>
  <si>
    <t>Discount 708</t>
  </si>
  <si>
    <t>Discount 709</t>
  </si>
  <si>
    <t>Discount 710</t>
  </si>
  <si>
    <t>Discount 711</t>
  </si>
  <si>
    <t>Discount 712</t>
  </si>
  <si>
    <t>Discount 713</t>
  </si>
  <si>
    <t>Discount 714</t>
  </si>
  <si>
    <t>Discount 715</t>
  </si>
  <si>
    <t>Discount 716</t>
  </si>
  <si>
    <t>Discount 717</t>
  </si>
  <si>
    <t>Discount 718</t>
  </si>
  <si>
    <t>Discount 719</t>
  </si>
  <si>
    <t>Discount 720</t>
  </si>
  <si>
    <t>Discount 721</t>
  </si>
  <si>
    <t>Discount 722</t>
  </si>
  <si>
    <t>Discount 723</t>
  </si>
  <si>
    <t>Discount 724</t>
  </si>
  <si>
    <t>Discount 725</t>
  </si>
  <si>
    <t>Discount 726</t>
  </si>
  <si>
    <t>Discount 727</t>
  </si>
  <si>
    <t>Discount 728</t>
  </si>
  <si>
    <t>Discount 729</t>
  </si>
  <si>
    <t>Discount 730</t>
  </si>
  <si>
    <t>Discount 731</t>
  </si>
  <si>
    <t>Discount 732</t>
  </si>
  <si>
    <t>Discount 733</t>
  </si>
  <si>
    <t>Discount 734</t>
  </si>
  <si>
    <t>Discount 735</t>
  </si>
  <si>
    <t>Discount 736</t>
  </si>
  <si>
    <t>Discount 737</t>
  </si>
  <si>
    <t>Discount 738</t>
  </si>
  <si>
    <t>Discount 739</t>
  </si>
  <si>
    <t>Discount 740</t>
  </si>
  <si>
    <t>Discount 741</t>
  </si>
  <si>
    <t>Discount 742</t>
  </si>
  <si>
    <t>Discount 743</t>
  </si>
  <si>
    <t>Discount 744</t>
  </si>
  <si>
    <t>Discount 745</t>
  </si>
  <si>
    <t>Discount 746</t>
  </si>
  <si>
    <t>Discount 747</t>
  </si>
  <si>
    <t>Discount 748</t>
  </si>
  <si>
    <t>Discount 749</t>
  </si>
  <si>
    <t>Discount 750</t>
  </si>
  <si>
    <t>Discount 751</t>
  </si>
  <si>
    <t>Discount 752</t>
  </si>
  <si>
    <t>Discount 753</t>
  </si>
  <si>
    <t>Discount 754</t>
  </si>
  <si>
    <t>Discount 755</t>
  </si>
  <si>
    <t>Discount 756</t>
  </si>
  <si>
    <t>Discount 757</t>
  </si>
  <si>
    <t>Discount 758</t>
  </si>
  <si>
    <t>Discount 759</t>
  </si>
  <si>
    <t>Discount 760</t>
  </si>
  <si>
    <t>Discount 761</t>
  </si>
  <si>
    <t>Discount 762</t>
  </si>
  <si>
    <t>Discount 763</t>
  </si>
  <si>
    <t>Discount 764</t>
  </si>
  <si>
    <t>Discount 765</t>
  </si>
  <si>
    <t>Discount 766</t>
  </si>
  <si>
    <t>Discount 767</t>
  </si>
  <si>
    <t>Discount 768</t>
  </si>
  <si>
    <t>Discount 769</t>
  </si>
  <si>
    <t>Discount 770</t>
  </si>
  <si>
    <t>Discount 771</t>
  </si>
  <si>
    <t>Discount 772</t>
  </si>
  <si>
    <t>Discount 773</t>
  </si>
  <si>
    <t>Discount 774</t>
  </si>
  <si>
    <t>Discount 775</t>
  </si>
  <si>
    <t>Discount 776</t>
  </si>
  <si>
    <t>Discount 777</t>
  </si>
  <si>
    <t>Discount 778</t>
  </si>
  <si>
    <t>Discount 779</t>
  </si>
  <si>
    <t>Discount 780</t>
  </si>
  <si>
    <t>Discount 781</t>
  </si>
  <si>
    <t>Discount 782</t>
  </si>
  <si>
    <t>Discount 783</t>
  </si>
  <si>
    <t>Discount 784</t>
  </si>
  <si>
    <t>Discount 785</t>
  </si>
  <si>
    <t>Discount 786</t>
  </si>
  <si>
    <t>Discount 787</t>
  </si>
  <si>
    <t>Discount 788</t>
  </si>
  <si>
    <t>Discount 789</t>
  </si>
  <si>
    <t>Discount 790</t>
  </si>
  <si>
    <t>Discount 791</t>
  </si>
  <si>
    <t>Discount 792</t>
  </si>
  <si>
    <t>Discount 793</t>
  </si>
  <si>
    <t>Discount 794</t>
  </si>
  <si>
    <t>Discount 795</t>
  </si>
  <si>
    <t>Discount 796</t>
  </si>
  <si>
    <t>Discount 797</t>
  </si>
  <si>
    <t>Discount 798</t>
  </si>
  <si>
    <t>Discount 799</t>
  </si>
  <si>
    <t>Discount 800</t>
  </si>
  <si>
    <t>Discount 801</t>
  </si>
  <si>
    <t>Discount 802</t>
  </si>
  <si>
    <t>Discount 803</t>
  </si>
  <si>
    <t>Discount 804</t>
  </si>
  <si>
    <t>Discount 805</t>
  </si>
  <si>
    <t>Discount 806</t>
  </si>
  <si>
    <t>Discount 807</t>
  </si>
  <si>
    <t>Discount 808</t>
  </si>
  <si>
    <t>Discount 809</t>
  </si>
  <si>
    <t>Discount 810</t>
  </si>
  <si>
    <t>Discount 811</t>
  </si>
  <si>
    <t>Discount 812</t>
  </si>
  <si>
    <t>Discount 813</t>
  </si>
  <si>
    <t>Discount 814</t>
  </si>
  <si>
    <t>Discount 815</t>
  </si>
  <si>
    <t>Discount 816</t>
  </si>
  <si>
    <t>Discount 817</t>
  </si>
  <si>
    <t>Discount 818</t>
  </si>
  <si>
    <t>Discount 819</t>
  </si>
  <si>
    <t>Discount 820</t>
  </si>
  <si>
    <t>Discount 821</t>
  </si>
  <si>
    <t>Discount 822</t>
  </si>
  <si>
    <t>Discount 823</t>
  </si>
  <si>
    <t>Discount 824</t>
  </si>
  <si>
    <t>Discount 825</t>
  </si>
  <si>
    <t>Discount 826</t>
  </si>
  <si>
    <t>Discount 827</t>
  </si>
  <si>
    <t>Discount 828</t>
  </si>
  <si>
    <t>Discount 829</t>
  </si>
  <si>
    <t>Discount 830</t>
  </si>
  <si>
    <t>Discount 831</t>
  </si>
  <si>
    <t>Discount 832</t>
  </si>
  <si>
    <t>Discount 833</t>
  </si>
  <si>
    <t>Discount 834</t>
  </si>
  <si>
    <t>Discount 835</t>
  </si>
  <si>
    <t>Discount 836</t>
  </si>
  <si>
    <t>Discount 837</t>
  </si>
  <si>
    <t>Discount 838</t>
  </si>
  <si>
    <t>Discount 839</t>
  </si>
  <si>
    <t>Discount 840</t>
  </si>
  <si>
    <t>Discount 841</t>
  </si>
  <si>
    <t>Discount 842</t>
  </si>
  <si>
    <t>Discount 843</t>
  </si>
  <si>
    <t>Discount 844</t>
  </si>
  <si>
    <t>Discount 845</t>
  </si>
  <si>
    <t>Discount 846</t>
  </si>
  <si>
    <t>Discount 847</t>
  </si>
  <si>
    <t>Discount 848</t>
  </si>
  <si>
    <t>Discount 849</t>
  </si>
  <si>
    <t>Discount 850</t>
  </si>
  <si>
    <t>Discount 851</t>
  </si>
  <si>
    <t>Discount 852</t>
  </si>
  <si>
    <t>Discount 853</t>
  </si>
  <si>
    <t>Discount 854</t>
  </si>
  <si>
    <t>Discount 855</t>
  </si>
  <si>
    <t>Discount 856</t>
  </si>
  <si>
    <t>Discount 857</t>
  </si>
  <si>
    <t>Discount 858</t>
  </si>
  <si>
    <t>Discount 859</t>
  </si>
  <si>
    <t>Discount 860</t>
  </si>
  <si>
    <t>Discount 861</t>
  </si>
  <si>
    <t>Discount 862</t>
  </si>
  <si>
    <t>Discount 863</t>
  </si>
  <si>
    <t>Discount 864</t>
  </si>
  <si>
    <t>Discount 865</t>
  </si>
  <si>
    <t>Discount 866</t>
  </si>
  <si>
    <t>Discount 867</t>
  </si>
  <si>
    <t>Discount 868</t>
  </si>
  <si>
    <t>Discount 869</t>
  </si>
  <si>
    <t>Discount 870</t>
  </si>
  <si>
    <t>Discount 871</t>
  </si>
  <si>
    <t>Discount 872</t>
  </si>
  <si>
    <t>Discount 873</t>
  </si>
  <si>
    <t>Discount 874</t>
  </si>
  <si>
    <t>Discount 875</t>
  </si>
  <si>
    <t>Discount 876</t>
  </si>
  <si>
    <t>Discount 877</t>
  </si>
  <si>
    <t>Discount 878</t>
  </si>
  <si>
    <t>Discount 879</t>
  </si>
  <si>
    <t>Discount 880</t>
  </si>
  <si>
    <t>Discount 881</t>
  </si>
  <si>
    <t>Discount 882</t>
  </si>
  <si>
    <t>Discount 883</t>
  </si>
  <si>
    <t>Discount 884</t>
  </si>
  <si>
    <t>Discount 885</t>
  </si>
  <si>
    <t>Discount 886</t>
  </si>
  <si>
    <t>Discount 887</t>
  </si>
  <si>
    <t>Discount 888</t>
  </si>
  <si>
    <t>Discount 889</t>
  </si>
  <si>
    <t>Discount 890</t>
  </si>
  <si>
    <t>Discount 891</t>
  </si>
  <si>
    <t>Discount 892</t>
  </si>
  <si>
    <t>Discount 893</t>
  </si>
  <si>
    <t>Discount 894</t>
  </si>
  <si>
    <t>Discount 895</t>
  </si>
  <si>
    <t>Discount 896</t>
  </si>
  <si>
    <t>Discount 897</t>
  </si>
  <si>
    <t>Discount 898</t>
  </si>
  <si>
    <t>Discount 899</t>
  </si>
  <si>
    <t>Discount 900</t>
  </si>
  <si>
    <t>Discount 901</t>
  </si>
  <si>
    <t>Discount 902</t>
  </si>
  <si>
    <t>Discount 903</t>
  </si>
  <si>
    <t>Discount 904</t>
  </si>
  <si>
    <t>Discount 905</t>
  </si>
  <si>
    <t>Discount 906</t>
  </si>
  <si>
    <t>Discount 907</t>
  </si>
  <si>
    <t>Discount 908</t>
  </si>
  <si>
    <t>Discount 909</t>
  </si>
  <si>
    <t>Discount 910</t>
  </si>
  <si>
    <t>Discount 911</t>
  </si>
  <si>
    <t>Discount 912</t>
  </si>
  <si>
    <t>Discount 913</t>
  </si>
  <si>
    <t>Discount 914</t>
  </si>
  <si>
    <t>Discount 915</t>
  </si>
  <si>
    <t>Discount 916</t>
  </si>
  <si>
    <t>Discount 917</t>
  </si>
  <si>
    <t>Discount 918</t>
  </si>
  <si>
    <t>Discount 919</t>
  </si>
  <si>
    <t>Discount 920</t>
  </si>
  <si>
    <t>Discount 921</t>
  </si>
  <si>
    <t>Discount 922</t>
  </si>
  <si>
    <t>Discount 923</t>
  </si>
  <si>
    <t>Discount 924</t>
  </si>
  <si>
    <t>Discount 925</t>
  </si>
  <si>
    <t>Discount 926</t>
  </si>
  <si>
    <t>Discount 927</t>
  </si>
  <si>
    <t>Discount 928</t>
  </si>
  <si>
    <t>Discount 929</t>
  </si>
  <si>
    <t>Discount 930</t>
  </si>
  <si>
    <t>Discount 931</t>
  </si>
  <si>
    <t>Discount 932</t>
  </si>
  <si>
    <t>Discount 933</t>
  </si>
  <si>
    <t>Discount 934</t>
  </si>
  <si>
    <t>Discount 935</t>
  </si>
  <si>
    <t>Discount 936</t>
  </si>
  <si>
    <t>Discount 937</t>
  </si>
  <si>
    <t>Discount 938</t>
  </si>
  <si>
    <t>Discount 939</t>
  </si>
  <si>
    <t>Discount 940</t>
  </si>
  <si>
    <t>Discount 941</t>
  </si>
  <si>
    <t>Discount 942</t>
  </si>
  <si>
    <t>Discount 943</t>
  </si>
  <si>
    <t>Discount 944</t>
  </si>
  <si>
    <t>Discount 945</t>
  </si>
  <si>
    <t>Discount 946</t>
  </si>
  <si>
    <t>Discount 947</t>
  </si>
  <si>
    <t>Discount 948</t>
  </si>
  <si>
    <t>Discount 949</t>
  </si>
  <si>
    <t>Discount 950</t>
  </si>
  <si>
    <t>Discount 951</t>
  </si>
  <si>
    <t>Discount 952</t>
  </si>
  <si>
    <t>Discount 953</t>
  </si>
  <si>
    <t>Discount 954</t>
  </si>
  <si>
    <t>Discount 955</t>
  </si>
  <si>
    <t>Discount 956</t>
  </si>
  <si>
    <t>Discount 957</t>
  </si>
  <si>
    <t>Discount 958</t>
  </si>
  <si>
    <t>Discount 959</t>
  </si>
  <si>
    <t>Discount 960</t>
  </si>
  <si>
    <t>Discount 961</t>
  </si>
  <si>
    <t>Discount 962</t>
  </si>
  <si>
    <t>Discount 963</t>
  </si>
  <si>
    <t>Discount 964</t>
  </si>
  <si>
    <t>Discount 965</t>
  </si>
  <si>
    <t>Discount 966</t>
  </si>
  <si>
    <t>Discount 967</t>
  </si>
  <si>
    <t>Discount 968</t>
  </si>
  <si>
    <t>Discount 969</t>
  </si>
  <si>
    <t>Discount 970</t>
  </si>
  <si>
    <t>Discount 971</t>
  </si>
  <si>
    <t>Discount 972</t>
  </si>
  <si>
    <t>Discount 973</t>
  </si>
  <si>
    <t>Discount 974</t>
  </si>
  <si>
    <t>Discount 975</t>
  </si>
  <si>
    <t>Discount 976</t>
  </si>
  <si>
    <t>Discount 977</t>
  </si>
  <si>
    <t>Discount 978</t>
  </si>
  <si>
    <t>Discount 979</t>
  </si>
  <si>
    <t>Discount 980</t>
  </si>
  <si>
    <t>Discount 981</t>
  </si>
  <si>
    <t>Discount 982</t>
  </si>
  <si>
    <t>Discount 983</t>
  </si>
  <si>
    <t>Discount 984</t>
  </si>
  <si>
    <t>Discount 985</t>
  </si>
  <si>
    <t>Discount 986</t>
  </si>
  <si>
    <t>Discount 987</t>
  </si>
  <si>
    <t>Discount 988</t>
  </si>
  <si>
    <t>Discount 989</t>
  </si>
  <si>
    <t>Discount 990</t>
  </si>
  <si>
    <t>Discount 991</t>
  </si>
  <si>
    <t>Discount 992</t>
  </si>
  <si>
    <t>Discount 993</t>
  </si>
  <si>
    <t>Discount 994</t>
  </si>
  <si>
    <t>Discount 995</t>
  </si>
  <si>
    <t>Discount 996</t>
  </si>
  <si>
    <t>Discount 997</t>
  </si>
  <si>
    <t>Discount 998</t>
  </si>
  <si>
    <t>Discount 999</t>
  </si>
  <si>
    <t>Discount 1000</t>
  </si>
  <si>
    <t>Discount 1001</t>
  </si>
  <si>
    <t>Low</t>
  </si>
  <si>
    <t>Medium</t>
  </si>
  <si>
    <t>High</t>
  </si>
  <si>
    <t>Very High</t>
  </si>
  <si>
    <t>SC 1</t>
  </si>
  <si>
    <t>SC 2</t>
  </si>
  <si>
    <t>SC 3</t>
  </si>
  <si>
    <t>SC 4</t>
  </si>
  <si>
    <t>Complexity of scope &amp; integrations. What it means - Defines the breadth of work—number of modules, integrations, customizations, environments. Why it matters - Larger or more complex scope requires more effort, coordination, and testing. Impact on pricing - Higher scope complexity → higher multiplier (e.g., Low = 0.95, High = 1.10, Very High = 1.20)</t>
  </si>
  <si>
    <t>Business Hours</t>
  </si>
  <si>
    <t>Extended Hours</t>
  </si>
  <si>
    <t>24x7</t>
  </si>
  <si>
    <t>Support hours &amp; SLA severity. What it means : Commitments on uptime, response time, and support hours (e.g., Business Hours vs 24×7). Why it matters: Stricter SLAs require more staffing, monitoring, and escalation readiness. Impact on pricing: Higher SLA severity → higher multiplier (e.g., Business Hours = 1.00, 24×7 = 1.15).</t>
  </si>
  <si>
    <t>SLA 1</t>
  </si>
  <si>
    <t>SLA 2</t>
  </si>
  <si>
    <t>SLA 3</t>
  </si>
  <si>
    <t>Particulars</t>
  </si>
  <si>
    <t>Scope Complexity</t>
  </si>
  <si>
    <t>SLA levels</t>
  </si>
  <si>
    <t>Multiplier</t>
  </si>
  <si>
    <t>RL1</t>
  </si>
  <si>
    <t>Risk Buffer</t>
  </si>
  <si>
    <t>Risk Buffer 1</t>
  </si>
  <si>
    <t>Risk Buffer 2</t>
  </si>
  <si>
    <t>Risk Buffer 3</t>
  </si>
  <si>
    <t>RL2</t>
  </si>
  <si>
    <t>RL3</t>
  </si>
  <si>
    <t>RL4</t>
  </si>
  <si>
    <t>RL5</t>
  </si>
  <si>
    <t>RL6</t>
  </si>
  <si>
    <t>RL7</t>
  </si>
  <si>
    <t>RL8</t>
  </si>
  <si>
    <t>RL9</t>
  </si>
  <si>
    <t>RL10</t>
  </si>
  <si>
    <t>RL11</t>
  </si>
  <si>
    <t>RL12</t>
  </si>
  <si>
    <t>RL13</t>
  </si>
  <si>
    <t>RL14</t>
  </si>
  <si>
    <t>RL15</t>
  </si>
  <si>
    <t>RL16</t>
  </si>
  <si>
    <t>RL17</t>
  </si>
  <si>
    <t>RL18</t>
  </si>
  <si>
    <t>RL19</t>
  </si>
  <si>
    <t>RL20</t>
  </si>
  <si>
    <t>RL21</t>
  </si>
  <si>
    <t>RL22</t>
  </si>
  <si>
    <t>RL23</t>
  </si>
  <si>
    <t>RL24</t>
  </si>
  <si>
    <t>RL25</t>
  </si>
  <si>
    <t>RL26</t>
  </si>
  <si>
    <t>RL27</t>
  </si>
  <si>
    <t>RL28</t>
  </si>
  <si>
    <t>RL29</t>
  </si>
  <si>
    <t>RL30</t>
  </si>
  <si>
    <t>RL31</t>
  </si>
  <si>
    <t>RL32</t>
  </si>
  <si>
    <t>RL33</t>
  </si>
  <si>
    <t>RL34</t>
  </si>
  <si>
    <t>RL35</t>
  </si>
  <si>
    <t>RL36</t>
  </si>
  <si>
    <t>RL37</t>
  </si>
  <si>
    <t>RL38</t>
  </si>
  <si>
    <t>RL39</t>
  </si>
  <si>
    <t>RL40</t>
  </si>
  <si>
    <t>RL41</t>
  </si>
  <si>
    <t>RL42</t>
  </si>
  <si>
    <t>RL43</t>
  </si>
  <si>
    <t>RL44</t>
  </si>
  <si>
    <t>RL45</t>
  </si>
  <si>
    <t>RL46</t>
  </si>
  <si>
    <t>RL47</t>
  </si>
  <si>
    <t>RL48</t>
  </si>
  <si>
    <t>RL49</t>
  </si>
  <si>
    <t>RL50</t>
  </si>
  <si>
    <t>RL51</t>
  </si>
  <si>
    <t>RL52</t>
  </si>
  <si>
    <t>RL53</t>
  </si>
  <si>
    <t>RL54</t>
  </si>
  <si>
    <t>RL55</t>
  </si>
  <si>
    <t>RL56</t>
  </si>
  <si>
    <t>RL57</t>
  </si>
  <si>
    <t>RL58</t>
  </si>
  <si>
    <t>RL59</t>
  </si>
  <si>
    <t>RL60</t>
  </si>
  <si>
    <t>RL61</t>
  </si>
  <si>
    <t>RL62</t>
  </si>
  <si>
    <t>RL63</t>
  </si>
  <si>
    <t>RL64</t>
  </si>
  <si>
    <t>RL65</t>
  </si>
  <si>
    <t>RL66</t>
  </si>
  <si>
    <t>RL67</t>
  </si>
  <si>
    <t>RL68</t>
  </si>
  <si>
    <t>RL69</t>
  </si>
  <si>
    <t>RL70</t>
  </si>
  <si>
    <t>RL71</t>
  </si>
  <si>
    <t>RL72</t>
  </si>
  <si>
    <t>RL73</t>
  </si>
  <si>
    <t>RL74</t>
  </si>
  <si>
    <t>RL75</t>
  </si>
  <si>
    <t>RL76</t>
  </si>
  <si>
    <t>RL77</t>
  </si>
  <si>
    <t>RL78</t>
  </si>
  <si>
    <t>RL79</t>
  </si>
  <si>
    <t>RL80</t>
  </si>
  <si>
    <t>RL81</t>
  </si>
  <si>
    <t>RL82</t>
  </si>
  <si>
    <t>RL83</t>
  </si>
  <si>
    <t>RL84</t>
  </si>
  <si>
    <t>RL85</t>
  </si>
  <si>
    <t>RL86</t>
  </si>
  <si>
    <t>RL87</t>
  </si>
  <si>
    <t>RL88</t>
  </si>
  <si>
    <t>RL89</t>
  </si>
  <si>
    <t>RL90</t>
  </si>
  <si>
    <t>RL91</t>
  </si>
  <si>
    <t>RL92</t>
  </si>
  <si>
    <t>RL93</t>
  </si>
  <si>
    <t>RL94</t>
  </si>
  <si>
    <t>RL95</t>
  </si>
  <si>
    <t>RL96</t>
  </si>
  <si>
    <t>RL97</t>
  </si>
  <si>
    <t>RL98</t>
  </si>
  <si>
    <t>RL99</t>
  </si>
  <si>
    <t>RL100</t>
  </si>
  <si>
    <t>RL101</t>
  </si>
  <si>
    <t>RL102</t>
  </si>
  <si>
    <t>RL103</t>
  </si>
  <si>
    <t>RL104</t>
  </si>
  <si>
    <t>RL105</t>
  </si>
  <si>
    <t>RL106</t>
  </si>
  <si>
    <t>RL107</t>
  </si>
  <si>
    <t>RL108</t>
  </si>
  <si>
    <t>RL109</t>
  </si>
  <si>
    <t>RL110</t>
  </si>
  <si>
    <t>RL111</t>
  </si>
  <si>
    <t>RL112</t>
  </si>
  <si>
    <t>RL113</t>
  </si>
  <si>
    <t>RL114</t>
  </si>
  <si>
    <t>RL115</t>
  </si>
  <si>
    <t>RL116</t>
  </si>
  <si>
    <t>RL117</t>
  </si>
  <si>
    <t>RL118</t>
  </si>
  <si>
    <t>RL119</t>
  </si>
  <si>
    <t>RL120</t>
  </si>
  <si>
    <t>RL121</t>
  </si>
  <si>
    <t>RL122</t>
  </si>
  <si>
    <t>RL123</t>
  </si>
  <si>
    <t>RL124</t>
  </si>
  <si>
    <t>RL125</t>
  </si>
  <si>
    <t>RL126</t>
  </si>
  <si>
    <t>RL127</t>
  </si>
  <si>
    <t>RL128</t>
  </si>
  <si>
    <t>RL129</t>
  </si>
  <si>
    <t>RL130</t>
  </si>
  <si>
    <t>RL131</t>
  </si>
  <si>
    <t>RL132</t>
  </si>
  <si>
    <t>RL133</t>
  </si>
  <si>
    <t>RL134</t>
  </si>
  <si>
    <t>RL135</t>
  </si>
  <si>
    <t>RL136</t>
  </si>
  <si>
    <t>RL137</t>
  </si>
  <si>
    <t>RL138</t>
  </si>
  <si>
    <t>RL139</t>
  </si>
  <si>
    <t>RL140</t>
  </si>
  <si>
    <t>RL141</t>
  </si>
  <si>
    <t>RL142</t>
  </si>
  <si>
    <t>RL143</t>
  </si>
  <si>
    <t>RL144</t>
  </si>
  <si>
    <t>RL145</t>
  </si>
  <si>
    <t>RL146</t>
  </si>
  <si>
    <t>RL147</t>
  </si>
  <si>
    <t>RL148</t>
  </si>
  <si>
    <t>RL149</t>
  </si>
  <si>
    <t>RL150</t>
  </si>
  <si>
    <t>RL151</t>
  </si>
  <si>
    <t>RL152</t>
  </si>
  <si>
    <t>RL153</t>
  </si>
  <si>
    <t>RL154</t>
  </si>
  <si>
    <t>RL155</t>
  </si>
  <si>
    <t>RL156</t>
  </si>
  <si>
    <t>RL157</t>
  </si>
  <si>
    <t>RL158</t>
  </si>
  <si>
    <t>RL159</t>
  </si>
  <si>
    <t>RL160</t>
  </si>
  <si>
    <t>RL161</t>
  </si>
  <si>
    <t>RL162</t>
  </si>
  <si>
    <t>RL163</t>
  </si>
  <si>
    <t>RL164</t>
  </si>
  <si>
    <t>RL165</t>
  </si>
  <si>
    <t>RL166</t>
  </si>
  <si>
    <t>RL167</t>
  </si>
  <si>
    <t>RL168</t>
  </si>
  <si>
    <t>RL169</t>
  </si>
  <si>
    <t>RL170</t>
  </si>
  <si>
    <t>RL171</t>
  </si>
  <si>
    <t>RL172</t>
  </si>
  <si>
    <t>RL173</t>
  </si>
  <si>
    <t>RL174</t>
  </si>
  <si>
    <t>RL175</t>
  </si>
  <si>
    <t>RL176</t>
  </si>
  <si>
    <t>RL177</t>
  </si>
  <si>
    <t>RL178</t>
  </si>
  <si>
    <t>RL179</t>
  </si>
  <si>
    <t>RL180</t>
  </si>
  <si>
    <t>RL181</t>
  </si>
  <si>
    <t>RL182</t>
  </si>
  <si>
    <t>RL183</t>
  </si>
  <si>
    <t>RL184</t>
  </si>
  <si>
    <t>RL185</t>
  </si>
  <si>
    <t>RL186</t>
  </si>
  <si>
    <t>RL187</t>
  </si>
  <si>
    <t>RL188</t>
  </si>
  <si>
    <t>RL189</t>
  </si>
  <si>
    <t>RL190</t>
  </si>
  <si>
    <t>RL191</t>
  </si>
  <si>
    <t>RL192</t>
  </si>
  <si>
    <t>RL193</t>
  </si>
  <si>
    <t>RL194</t>
  </si>
  <si>
    <t>RL195</t>
  </si>
  <si>
    <t>RL196</t>
  </si>
  <si>
    <t>RL197</t>
  </si>
  <si>
    <t>RL198</t>
  </si>
  <si>
    <t>RL199</t>
  </si>
  <si>
    <t>RL200</t>
  </si>
  <si>
    <t>RL201</t>
  </si>
  <si>
    <t>RL202</t>
  </si>
  <si>
    <t>RL203</t>
  </si>
  <si>
    <t>RL204</t>
  </si>
  <si>
    <t>RL205</t>
  </si>
  <si>
    <t>RL206</t>
  </si>
  <si>
    <t>RL207</t>
  </si>
  <si>
    <t>RL208</t>
  </si>
  <si>
    <t>RL209</t>
  </si>
  <si>
    <t>RL210</t>
  </si>
  <si>
    <t>RL211</t>
  </si>
  <si>
    <t>RL212</t>
  </si>
  <si>
    <t>RL213</t>
  </si>
  <si>
    <t>RL214</t>
  </si>
  <si>
    <t>RL215</t>
  </si>
  <si>
    <t>RL216</t>
  </si>
  <si>
    <t>RL217</t>
  </si>
  <si>
    <t>RL218</t>
  </si>
  <si>
    <t>RL219</t>
  </si>
  <si>
    <t>RL220</t>
  </si>
  <si>
    <t>RL221</t>
  </si>
  <si>
    <t>RL222</t>
  </si>
  <si>
    <t>RL223</t>
  </si>
  <si>
    <t>RL224</t>
  </si>
  <si>
    <t>RL225</t>
  </si>
  <si>
    <t>RL226</t>
  </si>
  <si>
    <t>RL227</t>
  </si>
  <si>
    <t>RL228</t>
  </si>
  <si>
    <t>RL229</t>
  </si>
  <si>
    <t>RL230</t>
  </si>
  <si>
    <t>RL231</t>
  </si>
  <si>
    <t>RL232</t>
  </si>
  <si>
    <t>RL233</t>
  </si>
  <si>
    <t>RL234</t>
  </si>
  <si>
    <t>RL235</t>
  </si>
  <si>
    <t>RL236</t>
  </si>
  <si>
    <t>RL237</t>
  </si>
  <si>
    <t>RL238</t>
  </si>
  <si>
    <t>RL239</t>
  </si>
  <si>
    <t>RL240</t>
  </si>
  <si>
    <t>RL241</t>
  </si>
  <si>
    <t>RL242</t>
  </si>
  <si>
    <t>RL243</t>
  </si>
  <si>
    <t>RL244</t>
  </si>
  <si>
    <t>RL245</t>
  </si>
  <si>
    <t>RL246</t>
  </si>
  <si>
    <t>RL247</t>
  </si>
  <si>
    <t>RL248</t>
  </si>
  <si>
    <t>RL249</t>
  </si>
  <si>
    <t>RL250</t>
  </si>
  <si>
    <t>RL251</t>
  </si>
  <si>
    <t>RL252</t>
  </si>
  <si>
    <t>RL253</t>
  </si>
  <si>
    <t>RL254</t>
  </si>
  <si>
    <t>RL255</t>
  </si>
  <si>
    <t>RL256</t>
  </si>
  <si>
    <t>RL257</t>
  </si>
  <si>
    <t>RL258</t>
  </si>
  <si>
    <t>RL259</t>
  </si>
  <si>
    <t>RL260</t>
  </si>
  <si>
    <t>RL261</t>
  </si>
  <si>
    <t>RL262</t>
  </si>
  <si>
    <t>RL263</t>
  </si>
  <si>
    <t>RL264</t>
  </si>
  <si>
    <t>RL265</t>
  </si>
  <si>
    <t>RL266</t>
  </si>
  <si>
    <t>RL267</t>
  </si>
  <si>
    <t>RL268</t>
  </si>
  <si>
    <t>RL269</t>
  </si>
  <si>
    <t>RL270</t>
  </si>
  <si>
    <t>RL271</t>
  </si>
  <si>
    <t>RL272</t>
  </si>
  <si>
    <t>RL273</t>
  </si>
  <si>
    <t>RL274</t>
  </si>
  <si>
    <t>RL275</t>
  </si>
  <si>
    <t>RL276</t>
  </si>
  <si>
    <t>RL277</t>
  </si>
  <si>
    <t>RL278</t>
  </si>
  <si>
    <t>RL279</t>
  </si>
  <si>
    <t>RL280</t>
  </si>
  <si>
    <t>RL281</t>
  </si>
  <si>
    <t>RL282</t>
  </si>
  <si>
    <t>RL283</t>
  </si>
  <si>
    <t>RL284</t>
  </si>
  <si>
    <t>RL285</t>
  </si>
  <si>
    <t>RL286</t>
  </si>
  <si>
    <t>RL287</t>
  </si>
  <si>
    <t>RL288</t>
  </si>
  <si>
    <t>RL289</t>
  </si>
  <si>
    <t>RL290</t>
  </si>
  <si>
    <t>RL291</t>
  </si>
  <si>
    <t>RL292</t>
  </si>
  <si>
    <t>RL293</t>
  </si>
  <si>
    <t>RL294</t>
  </si>
  <si>
    <t>RL295</t>
  </si>
  <si>
    <t>RL296</t>
  </si>
  <si>
    <t>RL297</t>
  </si>
  <si>
    <t>RL298</t>
  </si>
  <si>
    <t>RL299</t>
  </si>
  <si>
    <t>RL300</t>
  </si>
  <si>
    <t>RL301</t>
  </si>
  <si>
    <t>RL302</t>
  </si>
  <si>
    <t>RL303</t>
  </si>
  <si>
    <t>RL304</t>
  </si>
  <si>
    <t>RL305</t>
  </si>
  <si>
    <t>RL306</t>
  </si>
  <si>
    <t>RL307</t>
  </si>
  <si>
    <t>RL308</t>
  </si>
  <si>
    <t>RL309</t>
  </si>
  <si>
    <t>RL310</t>
  </si>
  <si>
    <t>RL311</t>
  </si>
  <si>
    <t>RL312</t>
  </si>
  <si>
    <t>RL313</t>
  </si>
  <si>
    <t>RL314</t>
  </si>
  <si>
    <t>RL315</t>
  </si>
  <si>
    <t>RL316</t>
  </si>
  <si>
    <t>RL317</t>
  </si>
  <si>
    <t>RL318</t>
  </si>
  <si>
    <t>RL319</t>
  </si>
  <si>
    <t>RL320</t>
  </si>
  <si>
    <t>RL321</t>
  </si>
  <si>
    <t>RL322</t>
  </si>
  <si>
    <t>RL323</t>
  </si>
  <si>
    <t>RL324</t>
  </si>
  <si>
    <t>RL325</t>
  </si>
  <si>
    <t>RL326</t>
  </si>
  <si>
    <t>RL327</t>
  </si>
  <si>
    <t>RL328</t>
  </si>
  <si>
    <t>RL329</t>
  </si>
  <si>
    <t>RL330</t>
  </si>
  <si>
    <t>RL331</t>
  </si>
  <si>
    <t>RL332</t>
  </si>
  <si>
    <t>RL333</t>
  </si>
  <si>
    <t>RL334</t>
  </si>
  <si>
    <t>RL335</t>
  </si>
  <si>
    <t>RL336</t>
  </si>
  <si>
    <t>RL337</t>
  </si>
  <si>
    <t>RL338</t>
  </si>
  <si>
    <t>RL339</t>
  </si>
  <si>
    <t>RL340</t>
  </si>
  <si>
    <t>RL341</t>
  </si>
  <si>
    <t>RL342</t>
  </si>
  <si>
    <t>RL343</t>
  </si>
  <si>
    <t>RL344</t>
  </si>
  <si>
    <t>RL345</t>
  </si>
  <si>
    <t>RL346</t>
  </si>
  <si>
    <t>RL347</t>
  </si>
  <si>
    <t>RL348</t>
  </si>
  <si>
    <t>RL349</t>
  </si>
  <si>
    <t>RL350</t>
  </si>
  <si>
    <t>RL351</t>
  </si>
  <si>
    <t>RL352</t>
  </si>
  <si>
    <t>RL353</t>
  </si>
  <si>
    <t>RL354</t>
  </si>
  <si>
    <t>RL355</t>
  </si>
  <si>
    <t>RL356</t>
  </si>
  <si>
    <t>RL357</t>
  </si>
  <si>
    <t>RL358</t>
  </si>
  <si>
    <t>RL359</t>
  </si>
  <si>
    <t>RL360</t>
  </si>
  <si>
    <t>RL361</t>
  </si>
  <si>
    <t>RL362</t>
  </si>
  <si>
    <t>RL363</t>
  </si>
  <si>
    <t>RL364</t>
  </si>
  <si>
    <t>RL365</t>
  </si>
  <si>
    <t>RL366</t>
  </si>
  <si>
    <t>RL367</t>
  </si>
  <si>
    <t>RL368</t>
  </si>
  <si>
    <t>RL369</t>
  </si>
  <si>
    <t>RL370</t>
  </si>
  <si>
    <t>RL371</t>
  </si>
  <si>
    <t>RL372</t>
  </si>
  <si>
    <t>RL373</t>
  </si>
  <si>
    <t>RL374</t>
  </si>
  <si>
    <t>RL375</t>
  </si>
  <si>
    <t>RL376</t>
  </si>
  <si>
    <t>RL377</t>
  </si>
  <si>
    <t>RL378</t>
  </si>
  <si>
    <t>RL379</t>
  </si>
  <si>
    <t>RL380</t>
  </si>
  <si>
    <t>RL381</t>
  </si>
  <si>
    <t>RL382</t>
  </si>
  <si>
    <t>RL383</t>
  </si>
  <si>
    <t>RL384</t>
  </si>
  <si>
    <t>RL385</t>
  </si>
  <si>
    <t>RL386</t>
  </si>
  <si>
    <t>RL387</t>
  </si>
  <si>
    <t>RL388</t>
  </si>
  <si>
    <t>RL389</t>
  </si>
  <si>
    <t>RL390</t>
  </si>
  <si>
    <t>RL391</t>
  </si>
  <si>
    <t>RL392</t>
  </si>
  <si>
    <t>RL393</t>
  </si>
  <si>
    <t>RL394</t>
  </si>
  <si>
    <t>RL395</t>
  </si>
  <si>
    <t>RL396</t>
  </si>
  <si>
    <t>RL397</t>
  </si>
  <si>
    <t>RL398</t>
  </si>
  <si>
    <t>RL399</t>
  </si>
  <si>
    <t>RL400</t>
  </si>
  <si>
    <t>RL401</t>
  </si>
  <si>
    <t>RL402</t>
  </si>
  <si>
    <t>RL403</t>
  </si>
  <si>
    <t>RL404</t>
  </si>
  <si>
    <t>RL405</t>
  </si>
  <si>
    <t>RL406</t>
  </si>
  <si>
    <t>RL407</t>
  </si>
  <si>
    <t>RL408</t>
  </si>
  <si>
    <t>RL409</t>
  </si>
  <si>
    <t>RL410</t>
  </si>
  <si>
    <t>RL411</t>
  </si>
  <si>
    <t>RL412</t>
  </si>
  <si>
    <t>RL413</t>
  </si>
  <si>
    <t>RL414</t>
  </si>
  <si>
    <t>RL415</t>
  </si>
  <si>
    <t>RL416</t>
  </si>
  <si>
    <t>RL417</t>
  </si>
  <si>
    <t>RL418</t>
  </si>
  <si>
    <t>RL419</t>
  </si>
  <si>
    <t>RL420</t>
  </si>
  <si>
    <t>RL421</t>
  </si>
  <si>
    <t>RL422</t>
  </si>
  <si>
    <t>RL423</t>
  </si>
  <si>
    <t>RL424</t>
  </si>
  <si>
    <t>RL425</t>
  </si>
  <si>
    <t>RL426</t>
  </si>
  <si>
    <t>RL427</t>
  </si>
  <si>
    <t>RL428</t>
  </si>
  <si>
    <t>RL429</t>
  </si>
  <si>
    <t>RL430</t>
  </si>
  <si>
    <t>RL431</t>
  </si>
  <si>
    <t>RL432</t>
  </si>
  <si>
    <t>RL433</t>
  </si>
  <si>
    <t>RL434</t>
  </si>
  <si>
    <t>RL435</t>
  </si>
  <si>
    <t>RL436</t>
  </si>
  <si>
    <t>RL437</t>
  </si>
  <si>
    <t>RL438</t>
  </si>
  <si>
    <t>RL439</t>
  </si>
  <si>
    <t>RL440</t>
  </si>
  <si>
    <t>RL441</t>
  </si>
  <si>
    <t>RL442</t>
  </si>
  <si>
    <t>RL443</t>
  </si>
  <si>
    <t>RL444</t>
  </si>
  <si>
    <t>RL445</t>
  </si>
  <si>
    <t>RL446</t>
  </si>
  <si>
    <t>RL447</t>
  </si>
  <si>
    <t>RL448</t>
  </si>
  <si>
    <t>RL449</t>
  </si>
  <si>
    <t>RL450</t>
  </si>
  <si>
    <t>RL451</t>
  </si>
  <si>
    <t>RL452</t>
  </si>
  <si>
    <t>RL453</t>
  </si>
  <si>
    <t>RL454</t>
  </si>
  <si>
    <t>RL455</t>
  </si>
  <si>
    <t>RL456</t>
  </si>
  <si>
    <t>RL457</t>
  </si>
  <si>
    <t>RL458</t>
  </si>
  <si>
    <t>RL459</t>
  </si>
  <si>
    <t>RL460</t>
  </si>
  <si>
    <t>RL461</t>
  </si>
  <si>
    <t>RL462</t>
  </si>
  <si>
    <t>RL463</t>
  </si>
  <si>
    <t>RL464</t>
  </si>
  <si>
    <t>RL465</t>
  </si>
  <si>
    <t>RL466</t>
  </si>
  <si>
    <t>RL467</t>
  </si>
  <si>
    <t>RL468</t>
  </si>
  <si>
    <t>RL469</t>
  </si>
  <si>
    <t>RL470</t>
  </si>
  <si>
    <t>RL471</t>
  </si>
  <si>
    <t>RL472</t>
  </si>
  <si>
    <t>RL473</t>
  </si>
  <si>
    <t>RL474</t>
  </si>
  <si>
    <t>RL475</t>
  </si>
  <si>
    <t>RL476</t>
  </si>
  <si>
    <t>RL477</t>
  </si>
  <si>
    <t>RL478</t>
  </si>
  <si>
    <t>RL479</t>
  </si>
  <si>
    <t>RL480</t>
  </si>
  <si>
    <t>RL481</t>
  </si>
  <si>
    <t>RL482</t>
  </si>
  <si>
    <t>RL483</t>
  </si>
  <si>
    <t>RL484</t>
  </si>
  <si>
    <t>RL485</t>
  </si>
  <si>
    <t>RL486</t>
  </si>
  <si>
    <t>RL487</t>
  </si>
  <si>
    <t>RL488</t>
  </si>
  <si>
    <t>RL489</t>
  </si>
  <si>
    <t>RL490</t>
  </si>
  <si>
    <t>RL491</t>
  </si>
  <si>
    <t>RL492</t>
  </si>
  <si>
    <t>RL493</t>
  </si>
  <si>
    <t>RL494</t>
  </si>
  <si>
    <t>RL495</t>
  </si>
  <si>
    <t>RL496</t>
  </si>
  <si>
    <t>RL497</t>
  </si>
  <si>
    <t>RL498</t>
  </si>
  <si>
    <t>RL499</t>
  </si>
  <si>
    <t>RL500</t>
  </si>
  <si>
    <t>RL501</t>
  </si>
  <si>
    <t>RL502</t>
  </si>
  <si>
    <t>RL503</t>
  </si>
  <si>
    <t>RL504</t>
  </si>
  <si>
    <t>RL505</t>
  </si>
  <si>
    <t>RL506</t>
  </si>
  <si>
    <t>RL507</t>
  </si>
  <si>
    <t>RL508</t>
  </si>
  <si>
    <t>RL509</t>
  </si>
  <si>
    <t>RL510</t>
  </si>
  <si>
    <t>RL511</t>
  </si>
  <si>
    <t>RL512</t>
  </si>
  <si>
    <t>RL513</t>
  </si>
  <si>
    <t>RL514</t>
  </si>
  <si>
    <t>RL515</t>
  </si>
  <si>
    <t>RL516</t>
  </si>
  <si>
    <t>RL517</t>
  </si>
  <si>
    <t>RL518</t>
  </si>
  <si>
    <t>RL519</t>
  </si>
  <si>
    <t>RL520</t>
  </si>
  <si>
    <t>RL521</t>
  </si>
  <si>
    <t>RL522</t>
  </si>
  <si>
    <t>RL523</t>
  </si>
  <si>
    <t>RL524</t>
  </si>
  <si>
    <t>RL525</t>
  </si>
  <si>
    <t>RL526</t>
  </si>
  <si>
    <t>RL527</t>
  </si>
  <si>
    <t>RL528</t>
  </si>
  <si>
    <t>RL529</t>
  </si>
  <si>
    <t>RL530</t>
  </si>
  <si>
    <t>RL531</t>
  </si>
  <si>
    <t>RL532</t>
  </si>
  <si>
    <t>RL533</t>
  </si>
  <si>
    <t>RL534</t>
  </si>
  <si>
    <t>RL535</t>
  </si>
  <si>
    <t>RL536</t>
  </si>
  <si>
    <t>RL537</t>
  </si>
  <si>
    <t>RL538</t>
  </si>
  <si>
    <t>RL539</t>
  </si>
  <si>
    <t>RL540</t>
  </si>
  <si>
    <t>RL541</t>
  </si>
  <si>
    <t>RL542</t>
  </si>
  <si>
    <t>RL543</t>
  </si>
  <si>
    <t>RL544</t>
  </si>
  <si>
    <t>RL545</t>
  </si>
  <si>
    <t>RL546</t>
  </si>
  <si>
    <t>RL547</t>
  </si>
  <si>
    <t>RL548</t>
  </si>
  <si>
    <t>RL549</t>
  </si>
  <si>
    <t>RL550</t>
  </si>
  <si>
    <t>RL551</t>
  </si>
  <si>
    <t>RL552</t>
  </si>
  <si>
    <t>RL553</t>
  </si>
  <si>
    <t>RL554</t>
  </si>
  <si>
    <t>RL555</t>
  </si>
  <si>
    <t>RL556</t>
  </si>
  <si>
    <t>RL557</t>
  </si>
  <si>
    <t>RL558</t>
  </si>
  <si>
    <t>RL559</t>
  </si>
  <si>
    <t>RL560</t>
  </si>
  <si>
    <t>RL561</t>
  </si>
  <si>
    <t>RL562</t>
  </si>
  <si>
    <t>RL563</t>
  </si>
  <si>
    <t>RL564</t>
  </si>
  <si>
    <t>RL565</t>
  </si>
  <si>
    <t>RL566</t>
  </si>
  <si>
    <t>RL567</t>
  </si>
  <si>
    <t>RL568</t>
  </si>
  <si>
    <t>RL569</t>
  </si>
  <si>
    <t>RL570</t>
  </si>
  <si>
    <t>RL571</t>
  </si>
  <si>
    <t>RL572</t>
  </si>
  <si>
    <t>RL573</t>
  </si>
  <si>
    <t>RL574</t>
  </si>
  <si>
    <t>RL575</t>
  </si>
  <si>
    <t>RL576</t>
  </si>
  <si>
    <t>RL577</t>
  </si>
  <si>
    <t>RL578</t>
  </si>
  <si>
    <t>RL579</t>
  </si>
  <si>
    <t>RL580</t>
  </si>
  <si>
    <t>RL581</t>
  </si>
  <si>
    <t>RL582</t>
  </si>
  <si>
    <t>RL583</t>
  </si>
  <si>
    <t>RL584</t>
  </si>
  <si>
    <t>RL585</t>
  </si>
  <si>
    <t>RL586</t>
  </si>
  <si>
    <t>RL587</t>
  </si>
  <si>
    <t>RL588</t>
  </si>
  <si>
    <t>RL589</t>
  </si>
  <si>
    <t>RL590</t>
  </si>
  <si>
    <t>RL591</t>
  </si>
  <si>
    <t>RL592</t>
  </si>
  <si>
    <t>RL593</t>
  </si>
  <si>
    <t>RL594</t>
  </si>
  <si>
    <t>RL595</t>
  </si>
  <si>
    <t>RL596</t>
  </si>
  <si>
    <t>RL597</t>
  </si>
  <si>
    <t>RL598</t>
  </si>
  <si>
    <t>RL599</t>
  </si>
  <si>
    <t>RL600</t>
  </si>
  <si>
    <t>RL601</t>
  </si>
  <si>
    <t>RL602</t>
  </si>
  <si>
    <t>RL603</t>
  </si>
  <si>
    <t>RL604</t>
  </si>
  <si>
    <t>RL605</t>
  </si>
  <si>
    <t>RL606</t>
  </si>
  <si>
    <t>RL607</t>
  </si>
  <si>
    <t>RL608</t>
  </si>
  <si>
    <t>RL609</t>
  </si>
  <si>
    <t>RL610</t>
  </si>
  <si>
    <t>RL611</t>
  </si>
  <si>
    <t>RL612</t>
  </si>
  <si>
    <t>RL613</t>
  </si>
  <si>
    <t>RL614</t>
  </si>
  <si>
    <t>RL615</t>
  </si>
  <si>
    <t>RL616</t>
  </si>
  <si>
    <t>RL617</t>
  </si>
  <si>
    <t>RL618</t>
  </si>
  <si>
    <t>RL619</t>
  </si>
  <si>
    <t>RL620</t>
  </si>
  <si>
    <t>RL621</t>
  </si>
  <si>
    <t>RL622</t>
  </si>
  <si>
    <t>RL623</t>
  </si>
  <si>
    <t>RL624</t>
  </si>
  <si>
    <t>RL625</t>
  </si>
  <si>
    <t>RL626</t>
  </si>
  <si>
    <t>RL627</t>
  </si>
  <si>
    <t>RL628</t>
  </si>
  <si>
    <t>RL629</t>
  </si>
  <si>
    <t>RL630</t>
  </si>
  <si>
    <t>RL631</t>
  </si>
  <si>
    <t>RL632</t>
  </si>
  <si>
    <t>RL633</t>
  </si>
  <si>
    <t>RL634</t>
  </si>
  <si>
    <t>RL635</t>
  </si>
  <si>
    <t>RL636</t>
  </si>
  <si>
    <t>RL637</t>
  </si>
  <si>
    <t>RL638</t>
  </si>
  <si>
    <t>RL639</t>
  </si>
  <si>
    <t>RL640</t>
  </si>
  <si>
    <t>RL641</t>
  </si>
  <si>
    <t>RL642</t>
  </si>
  <si>
    <t>RL643</t>
  </si>
  <si>
    <t>RL644</t>
  </si>
  <si>
    <t>RL645</t>
  </si>
  <si>
    <t>RL646</t>
  </si>
  <si>
    <t>RL647</t>
  </si>
  <si>
    <t>RL648</t>
  </si>
  <si>
    <t>RL649</t>
  </si>
  <si>
    <t>RL650</t>
  </si>
  <si>
    <t>RL651</t>
  </si>
  <si>
    <t>RL652</t>
  </si>
  <si>
    <t>RL653</t>
  </si>
  <si>
    <t>RL654</t>
  </si>
  <si>
    <t>RL655</t>
  </si>
  <si>
    <t>RL656</t>
  </si>
  <si>
    <t>RL657</t>
  </si>
  <si>
    <t>RL658</t>
  </si>
  <si>
    <t>RL659</t>
  </si>
  <si>
    <t>RL660</t>
  </si>
  <si>
    <t>RL661</t>
  </si>
  <si>
    <t>RL662</t>
  </si>
  <si>
    <t>RL663</t>
  </si>
  <si>
    <t>RL664</t>
  </si>
  <si>
    <t>RL665</t>
  </si>
  <si>
    <t>RL666</t>
  </si>
  <si>
    <t>RL667</t>
  </si>
  <si>
    <t>RL668</t>
  </si>
  <si>
    <t>RL669</t>
  </si>
  <si>
    <t>RL670</t>
  </si>
  <si>
    <t>RL671</t>
  </si>
  <si>
    <t>RL672</t>
  </si>
  <si>
    <t>RL673</t>
  </si>
  <si>
    <t>RL674</t>
  </si>
  <si>
    <t>RL675</t>
  </si>
  <si>
    <t>RL676</t>
  </si>
  <si>
    <t>RL677</t>
  </si>
  <si>
    <t>RL678</t>
  </si>
  <si>
    <t>RL679</t>
  </si>
  <si>
    <t>RL680</t>
  </si>
  <si>
    <t>RL681</t>
  </si>
  <si>
    <t>RL682</t>
  </si>
  <si>
    <t>RL683</t>
  </si>
  <si>
    <t>RL684</t>
  </si>
  <si>
    <t>RL685</t>
  </si>
  <si>
    <t>RL686</t>
  </si>
  <si>
    <t>RL687</t>
  </si>
  <si>
    <t>RL688</t>
  </si>
  <si>
    <t>RL689</t>
  </si>
  <si>
    <t>RL690</t>
  </si>
  <si>
    <t>RL691</t>
  </si>
  <si>
    <t>RL692</t>
  </si>
  <si>
    <t>RL693</t>
  </si>
  <si>
    <t>RL694</t>
  </si>
  <si>
    <t>RL695</t>
  </si>
  <si>
    <t>RL696</t>
  </si>
  <si>
    <t>RL697</t>
  </si>
  <si>
    <t>RL698</t>
  </si>
  <si>
    <t>RL699</t>
  </si>
  <si>
    <t>RL700</t>
  </si>
  <si>
    <t>RL701</t>
  </si>
  <si>
    <t>RL702</t>
  </si>
  <si>
    <t>RL703</t>
  </si>
  <si>
    <t>RL704</t>
  </si>
  <si>
    <t>RL705</t>
  </si>
  <si>
    <t>RL706</t>
  </si>
  <si>
    <t>RL707</t>
  </si>
  <si>
    <t>RL708</t>
  </si>
  <si>
    <t>RL709</t>
  </si>
  <si>
    <t>RL710</t>
  </si>
  <si>
    <t>RL711</t>
  </si>
  <si>
    <t>RL712</t>
  </si>
  <si>
    <t>RL713</t>
  </si>
  <si>
    <t>RL714</t>
  </si>
  <si>
    <t>RL715</t>
  </si>
  <si>
    <t>RL716</t>
  </si>
  <si>
    <t>RL717</t>
  </si>
  <si>
    <t>RL718</t>
  </si>
  <si>
    <t>RL719</t>
  </si>
  <si>
    <t>RL720</t>
  </si>
  <si>
    <t>RL721</t>
  </si>
  <si>
    <t>RL722</t>
  </si>
  <si>
    <t>RL723</t>
  </si>
  <si>
    <t>RL724</t>
  </si>
  <si>
    <t>RL725</t>
  </si>
  <si>
    <t>RL726</t>
  </si>
  <si>
    <t>RL727</t>
  </si>
  <si>
    <t>RL728</t>
  </si>
  <si>
    <t>RL729</t>
  </si>
  <si>
    <t>RL730</t>
  </si>
  <si>
    <t>RL731</t>
  </si>
  <si>
    <t>RL732</t>
  </si>
  <si>
    <t>RL733</t>
  </si>
  <si>
    <t>RL734</t>
  </si>
  <si>
    <t>RL735</t>
  </si>
  <si>
    <t>RL736</t>
  </si>
  <si>
    <t>RL737</t>
  </si>
  <si>
    <t>RL738</t>
  </si>
  <si>
    <t>RL739</t>
  </si>
  <si>
    <t>RL740</t>
  </si>
  <si>
    <t>RL741</t>
  </si>
  <si>
    <t>RL742</t>
  </si>
  <si>
    <t>RL743</t>
  </si>
  <si>
    <t>RL744</t>
  </si>
  <si>
    <t>RL745</t>
  </si>
  <si>
    <t>RL746</t>
  </si>
  <si>
    <t>RL747</t>
  </si>
  <si>
    <t>RL748</t>
  </si>
  <si>
    <t>RL749</t>
  </si>
  <si>
    <t>RL750</t>
  </si>
  <si>
    <t>RL751</t>
  </si>
  <si>
    <t>RL752</t>
  </si>
  <si>
    <t>RL753</t>
  </si>
  <si>
    <t>RL754</t>
  </si>
  <si>
    <t>RL755</t>
  </si>
  <si>
    <t>RL756</t>
  </si>
  <si>
    <t>RL757</t>
  </si>
  <si>
    <t>RL758</t>
  </si>
  <si>
    <t>RL759</t>
  </si>
  <si>
    <t>RL760</t>
  </si>
  <si>
    <t>RL761</t>
  </si>
  <si>
    <t>RL762</t>
  </si>
  <si>
    <t>RL763</t>
  </si>
  <si>
    <t>RL764</t>
  </si>
  <si>
    <t>RL765</t>
  </si>
  <si>
    <t>RL766</t>
  </si>
  <si>
    <t>RL767</t>
  </si>
  <si>
    <t>RL768</t>
  </si>
  <si>
    <t>RL769</t>
  </si>
  <si>
    <t>RL770</t>
  </si>
  <si>
    <t>RL771</t>
  </si>
  <si>
    <t>RL772</t>
  </si>
  <si>
    <t>RL773</t>
  </si>
  <si>
    <t>RL774</t>
  </si>
  <si>
    <t>RL775</t>
  </si>
  <si>
    <t>RL776</t>
  </si>
  <si>
    <t>RL777</t>
  </si>
  <si>
    <t>RL778</t>
  </si>
  <si>
    <t>RL779</t>
  </si>
  <si>
    <t>RL780</t>
  </si>
  <si>
    <t>RL781</t>
  </si>
  <si>
    <t>RL782</t>
  </si>
  <si>
    <t>RL783</t>
  </si>
  <si>
    <t>RL784</t>
  </si>
  <si>
    <t>RL785</t>
  </si>
  <si>
    <t>RL786</t>
  </si>
  <si>
    <t>RL787</t>
  </si>
  <si>
    <t>RL788</t>
  </si>
  <si>
    <t>RL789</t>
  </si>
  <si>
    <t>RL790</t>
  </si>
  <si>
    <t>RL791</t>
  </si>
  <si>
    <t>RL792</t>
  </si>
  <si>
    <t>RL793</t>
  </si>
  <si>
    <t>RL794</t>
  </si>
  <si>
    <t>RL795</t>
  </si>
  <si>
    <t>RL796</t>
  </si>
  <si>
    <t>RL797</t>
  </si>
  <si>
    <t>RL798</t>
  </si>
  <si>
    <t>RL799</t>
  </si>
  <si>
    <t>RL800</t>
  </si>
  <si>
    <t>RL801</t>
  </si>
  <si>
    <t>RL802</t>
  </si>
  <si>
    <t>RL803</t>
  </si>
  <si>
    <t>RL804</t>
  </si>
  <si>
    <t>RL805</t>
  </si>
  <si>
    <t>RL806</t>
  </si>
  <si>
    <t>RL807</t>
  </si>
  <si>
    <t>RL808</t>
  </si>
  <si>
    <t>RL809</t>
  </si>
  <si>
    <t>RL810</t>
  </si>
  <si>
    <t>RL811</t>
  </si>
  <si>
    <t>RL812</t>
  </si>
  <si>
    <t>RL813</t>
  </si>
  <si>
    <t>RL814</t>
  </si>
  <si>
    <t>RL815</t>
  </si>
  <si>
    <t>RL816</t>
  </si>
  <si>
    <t>RL817</t>
  </si>
  <si>
    <t>RL818</t>
  </si>
  <si>
    <t>RL819</t>
  </si>
  <si>
    <t>RL820</t>
  </si>
  <si>
    <t>RL821</t>
  </si>
  <si>
    <t>RL822</t>
  </si>
  <si>
    <t>RL823</t>
  </si>
  <si>
    <t>RL824</t>
  </si>
  <si>
    <t>RL825</t>
  </si>
  <si>
    <t>RL826</t>
  </si>
  <si>
    <t>RL827</t>
  </si>
  <si>
    <t>RL828</t>
  </si>
  <si>
    <t>RL829</t>
  </si>
  <si>
    <t>RL830</t>
  </si>
  <si>
    <t>RL831</t>
  </si>
  <si>
    <t>RL832</t>
  </si>
  <si>
    <t>RL833</t>
  </si>
  <si>
    <t>RL834</t>
  </si>
  <si>
    <t>RL835</t>
  </si>
  <si>
    <t>RL836</t>
  </si>
  <si>
    <t>RL837</t>
  </si>
  <si>
    <t>RL838</t>
  </si>
  <si>
    <t>RL839</t>
  </si>
  <si>
    <t>RL840</t>
  </si>
  <si>
    <t>RL841</t>
  </si>
  <si>
    <t>RL842</t>
  </si>
  <si>
    <t>RL843</t>
  </si>
  <si>
    <t>RL844</t>
  </si>
  <si>
    <t>RL845</t>
  </si>
  <si>
    <t>RL846</t>
  </si>
  <si>
    <t>RL847</t>
  </si>
  <si>
    <t>RL848</t>
  </si>
  <si>
    <t>RL849</t>
  </si>
  <si>
    <t>RL850</t>
  </si>
  <si>
    <t>RL851</t>
  </si>
  <si>
    <t>RL852</t>
  </si>
  <si>
    <t>RL853</t>
  </si>
  <si>
    <t>RL854</t>
  </si>
  <si>
    <t>RL855</t>
  </si>
  <si>
    <t>RL856</t>
  </si>
  <si>
    <t>RL857</t>
  </si>
  <si>
    <t>RL858</t>
  </si>
  <si>
    <t>RL859</t>
  </si>
  <si>
    <t>RL860</t>
  </si>
  <si>
    <t>RL861</t>
  </si>
  <si>
    <t>RL862</t>
  </si>
  <si>
    <t>RL863</t>
  </si>
  <si>
    <t>RL864</t>
  </si>
  <si>
    <t>RL865</t>
  </si>
  <si>
    <t>RL866</t>
  </si>
  <si>
    <t>RL867</t>
  </si>
  <si>
    <t>RL868</t>
  </si>
  <si>
    <t>RL869</t>
  </si>
  <si>
    <t>RL870</t>
  </si>
  <si>
    <t>RL871</t>
  </si>
  <si>
    <t>RL872</t>
  </si>
  <si>
    <t>RL873</t>
  </si>
  <si>
    <t>RL874</t>
  </si>
  <si>
    <t>RL875</t>
  </si>
  <si>
    <t>RL876</t>
  </si>
  <si>
    <t>RL877</t>
  </si>
  <si>
    <t>RL878</t>
  </si>
  <si>
    <t>RL879</t>
  </si>
  <si>
    <t>RL880</t>
  </si>
  <si>
    <t>RL881</t>
  </si>
  <si>
    <t>RL882</t>
  </si>
  <si>
    <t>RL883</t>
  </si>
  <si>
    <t>RL884</t>
  </si>
  <si>
    <t>RL885</t>
  </si>
  <si>
    <t>RL886</t>
  </si>
  <si>
    <t>RL887</t>
  </si>
  <si>
    <t>RL888</t>
  </si>
  <si>
    <t>RL889</t>
  </si>
  <si>
    <t>RL890</t>
  </si>
  <si>
    <t>RL891</t>
  </si>
  <si>
    <t>RL892</t>
  </si>
  <si>
    <t>RL893</t>
  </si>
  <si>
    <t>RL894</t>
  </si>
  <si>
    <t>RL895</t>
  </si>
  <si>
    <t>RL896</t>
  </si>
  <si>
    <t>RL897</t>
  </si>
  <si>
    <t>RL898</t>
  </si>
  <si>
    <t>RL899</t>
  </si>
  <si>
    <t>RL900</t>
  </si>
  <si>
    <t>RL901</t>
  </si>
  <si>
    <t>RL902</t>
  </si>
  <si>
    <t>RL903</t>
  </si>
  <si>
    <t>RL904</t>
  </si>
  <si>
    <t>RL905</t>
  </si>
  <si>
    <t>RL906</t>
  </si>
  <si>
    <t>RL907</t>
  </si>
  <si>
    <t>RL908</t>
  </si>
  <si>
    <t>RL909</t>
  </si>
  <si>
    <t>RL910</t>
  </si>
  <si>
    <t>RL911</t>
  </si>
  <si>
    <t>RL912</t>
  </si>
  <si>
    <t>RL913</t>
  </si>
  <si>
    <t>RL914</t>
  </si>
  <si>
    <t>RL915</t>
  </si>
  <si>
    <t>RL916</t>
  </si>
  <si>
    <t>RL917</t>
  </si>
  <si>
    <t>RL918</t>
  </si>
  <si>
    <t>RL919</t>
  </si>
  <si>
    <t>RL920</t>
  </si>
  <si>
    <t>RL921</t>
  </si>
  <si>
    <t>RL922</t>
  </si>
  <si>
    <t>RL923</t>
  </si>
  <si>
    <t>RL924</t>
  </si>
  <si>
    <t>RL925</t>
  </si>
  <si>
    <t>RL926</t>
  </si>
  <si>
    <t>RL927</t>
  </si>
  <si>
    <t>RL928</t>
  </si>
  <si>
    <t>RL929</t>
  </si>
  <si>
    <t>RL930</t>
  </si>
  <si>
    <t>RL931</t>
  </si>
  <si>
    <t>RL932</t>
  </si>
  <si>
    <t>RL933</t>
  </si>
  <si>
    <t>RL934</t>
  </si>
  <si>
    <t>RL935</t>
  </si>
  <si>
    <t>RL936</t>
  </si>
  <si>
    <t>RL937</t>
  </si>
  <si>
    <t>RL938</t>
  </si>
  <si>
    <t>RL939</t>
  </si>
  <si>
    <t>RL940</t>
  </si>
  <si>
    <t>RL941</t>
  </si>
  <si>
    <t>RL942</t>
  </si>
  <si>
    <t>RL943</t>
  </si>
  <si>
    <t>RL944</t>
  </si>
  <si>
    <t>RL945</t>
  </si>
  <si>
    <t>RL946</t>
  </si>
  <si>
    <t>RL947</t>
  </si>
  <si>
    <t>RL948</t>
  </si>
  <si>
    <t>RL949</t>
  </si>
  <si>
    <t>RL950</t>
  </si>
  <si>
    <t>RL951</t>
  </si>
  <si>
    <t>RL952</t>
  </si>
  <si>
    <t>RL953</t>
  </si>
  <si>
    <t>RL954</t>
  </si>
  <si>
    <t>RL955</t>
  </si>
  <si>
    <t>RL956</t>
  </si>
  <si>
    <t>RL957</t>
  </si>
  <si>
    <t>RL958</t>
  </si>
  <si>
    <t>RL959</t>
  </si>
  <si>
    <t>RL960</t>
  </si>
  <si>
    <t>RL961</t>
  </si>
  <si>
    <t>RL962</t>
  </si>
  <si>
    <t>RL963</t>
  </si>
  <si>
    <t>RL964</t>
  </si>
  <si>
    <t>RL965</t>
  </si>
  <si>
    <t>RL966</t>
  </si>
  <si>
    <t>RL967</t>
  </si>
  <si>
    <t>RL968</t>
  </si>
  <si>
    <t>RL969</t>
  </si>
  <si>
    <t>RL970</t>
  </si>
  <si>
    <t>RL971</t>
  </si>
  <si>
    <t>RL972</t>
  </si>
  <si>
    <t>RL973</t>
  </si>
  <si>
    <t>RL974</t>
  </si>
  <si>
    <t>RL975</t>
  </si>
  <si>
    <t>RL976</t>
  </si>
  <si>
    <t>RL977</t>
  </si>
  <si>
    <t>RL978</t>
  </si>
  <si>
    <t>RL979</t>
  </si>
  <si>
    <t>RL980</t>
  </si>
  <si>
    <t>RL981</t>
  </si>
  <si>
    <t>RL982</t>
  </si>
  <si>
    <t>RL983</t>
  </si>
  <si>
    <t>RL984</t>
  </si>
  <si>
    <t>RL985</t>
  </si>
  <si>
    <t>RL986</t>
  </si>
  <si>
    <t>RL987</t>
  </si>
  <si>
    <t>RL988</t>
  </si>
  <si>
    <t>RL989</t>
  </si>
  <si>
    <t>RL990</t>
  </si>
  <si>
    <t>RL991</t>
  </si>
  <si>
    <t>RL992</t>
  </si>
  <si>
    <t>RL993</t>
  </si>
  <si>
    <t>RL994</t>
  </si>
  <si>
    <t>RL995</t>
  </si>
  <si>
    <t>RL996</t>
  </si>
  <si>
    <t>RL997</t>
  </si>
  <si>
    <t>RL998</t>
  </si>
  <si>
    <t>RL999</t>
  </si>
  <si>
    <t>RL1000</t>
  </si>
  <si>
    <t>RL1001</t>
  </si>
  <si>
    <t>Risk Buffer 4</t>
  </si>
  <si>
    <t>Risk Buffer 5</t>
  </si>
  <si>
    <t>Risk Buffer 6</t>
  </si>
  <si>
    <t>Risk Buffer 7</t>
  </si>
  <si>
    <t>Risk Buffer 8</t>
  </si>
  <si>
    <t>Risk Buffer 9</t>
  </si>
  <si>
    <t>Risk Buffer 10</t>
  </si>
  <si>
    <t>Risk Buffer 11</t>
  </si>
  <si>
    <t>Risk Buffer 12</t>
  </si>
  <si>
    <t>Risk Buffer 13</t>
  </si>
  <si>
    <t>Risk Buffer 14</t>
  </si>
  <si>
    <t>Risk Buffer 15</t>
  </si>
  <si>
    <t>Risk Buffer 16</t>
  </si>
  <si>
    <t>Risk Buffer 17</t>
  </si>
  <si>
    <t>Risk Buffer 18</t>
  </si>
  <si>
    <t>Risk Buffer 19</t>
  </si>
  <si>
    <t>Risk Buffer 20</t>
  </si>
  <si>
    <t>Risk Buffer 21</t>
  </si>
  <si>
    <t>Risk Buffer 22</t>
  </si>
  <si>
    <t>Risk Buffer 23</t>
  </si>
  <si>
    <t>Risk Buffer 24</t>
  </si>
  <si>
    <t>Risk Buffer 25</t>
  </si>
  <si>
    <t>Risk Buffer 26</t>
  </si>
  <si>
    <t>Risk Buffer 27</t>
  </si>
  <si>
    <t>Risk Buffer 28</t>
  </si>
  <si>
    <t>Risk Buffer 29</t>
  </si>
  <si>
    <t>Risk Buffer 30</t>
  </si>
  <si>
    <t>Risk Buffer 31</t>
  </si>
  <si>
    <t>Risk Buffer 32</t>
  </si>
  <si>
    <t>Risk Buffer 33</t>
  </si>
  <si>
    <t>Risk Buffer 34</t>
  </si>
  <si>
    <t>Risk Buffer 35</t>
  </si>
  <si>
    <t>Risk Buffer 36</t>
  </si>
  <si>
    <t>Risk Buffer 37</t>
  </si>
  <si>
    <t>Risk Buffer 38</t>
  </si>
  <si>
    <t>Risk Buffer 39</t>
  </si>
  <si>
    <t>Risk Buffer 40</t>
  </si>
  <si>
    <t>Risk Buffer 41</t>
  </si>
  <si>
    <t>Risk Buffer 42</t>
  </si>
  <si>
    <t>Risk Buffer 43</t>
  </si>
  <si>
    <t>Risk Buffer 44</t>
  </si>
  <si>
    <t>Risk Buffer 45</t>
  </si>
  <si>
    <t>Risk Buffer 46</t>
  </si>
  <si>
    <t>Risk Buffer 47</t>
  </si>
  <si>
    <t>Risk Buffer 48</t>
  </si>
  <si>
    <t>Risk Buffer 49</t>
  </si>
  <si>
    <t>Risk Buffer 50</t>
  </si>
  <si>
    <t>Risk Buffer 51</t>
  </si>
  <si>
    <t>Risk Buffer 52</t>
  </si>
  <si>
    <t>Risk Buffer 53</t>
  </si>
  <si>
    <t>Risk Buffer 54</t>
  </si>
  <si>
    <t>Risk Buffer 55</t>
  </si>
  <si>
    <t>Risk Buffer 56</t>
  </si>
  <si>
    <t>Risk Buffer 57</t>
  </si>
  <si>
    <t>Risk Buffer 58</t>
  </si>
  <si>
    <t>Risk Buffer 59</t>
  </si>
  <si>
    <t>Risk Buffer 60</t>
  </si>
  <si>
    <t>Risk Buffer 61</t>
  </si>
  <si>
    <t>Risk Buffer 62</t>
  </si>
  <si>
    <t>Risk Buffer 63</t>
  </si>
  <si>
    <t>Risk Buffer 64</t>
  </si>
  <si>
    <t>Risk Buffer 65</t>
  </si>
  <si>
    <t>Risk Buffer 66</t>
  </si>
  <si>
    <t>Risk Buffer 67</t>
  </si>
  <si>
    <t>Risk Buffer 68</t>
  </si>
  <si>
    <t>Risk Buffer 69</t>
  </si>
  <si>
    <t>Risk Buffer 70</t>
  </si>
  <si>
    <t>Risk Buffer 71</t>
  </si>
  <si>
    <t>Risk Buffer 72</t>
  </si>
  <si>
    <t>Risk Buffer 73</t>
  </si>
  <si>
    <t>Risk Buffer 74</t>
  </si>
  <si>
    <t>Risk Buffer 75</t>
  </si>
  <si>
    <t>Risk Buffer 76</t>
  </si>
  <si>
    <t>Risk Buffer 77</t>
  </si>
  <si>
    <t>Risk Buffer 78</t>
  </si>
  <si>
    <t>Risk Buffer 79</t>
  </si>
  <si>
    <t>Risk Buffer 80</t>
  </si>
  <si>
    <t>Risk Buffer 81</t>
  </si>
  <si>
    <t>Risk Buffer 82</t>
  </si>
  <si>
    <t>Risk Buffer 83</t>
  </si>
  <si>
    <t>Risk Buffer 84</t>
  </si>
  <si>
    <t>Risk Buffer 85</t>
  </si>
  <si>
    <t>Risk Buffer 86</t>
  </si>
  <si>
    <t>Risk Buffer 87</t>
  </si>
  <si>
    <t>Risk Buffer 88</t>
  </si>
  <si>
    <t>Risk Buffer 89</t>
  </si>
  <si>
    <t>Risk Buffer 90</t>
  </si>
  <si>
    <t>Risk Buffer 91</t>
  </si>
  <si>
    <t>Risk Buffer 92</t>
  </si>
  <si>
    <t>Risk Buffer 93</t>
  </si>
  <si>
    <t>Risk Buffer 94</t>
  </si>
  <si>
    <t>Risk Buffer 95</t>
  </si>
  <si>
    <t>Risk Buffer 96</t>
  </si>
  <si>
    <t>Risk Buffer 97</t>
  </si>
  <si>
    <t>Risk Buffer 98</t>
  </si>
  <si>
    <t>Risk Buffer 99</t>
  </si>
  <si>
    <t>Risk Buffer 100</t>
  </si>
  <si>
    <t>Risk Buffer 101</t>
  </si>
  <si>
    <t>Risk Buffer 102</t>
  </si>
  <si>
    <t>Risk Buffer 103</t>
  </si>
  <si>
    <t>Risk Buffer 104</t>
  </si>
  <si>
    <t>Risk Buffer 105</t>
  </si>
  <si>
    <t>Risk Buffer 106</t>
  </si>
  <si>
    <t>Risk Buffer 107</t>
  </si>
  <si>
    <t>Risk Buffer 108</t>
  </si>
  <si>
    <t>Risk Buffer 109</t>
  </si>
  <si>
    <t>Risk Buffer 110</t>
  </si>
  <si>
    <t>Risk Buffer 111</t>
  </si>
  <si>
    <t>Risk Buffer 112</t>
  </si>
  <si>
    <t>Risk Buffer 113</t>
  </si>
  <si>
    <t>Risk Buffer 114</t>
  </si>
  <si>
    <t>Risk Buffer 115</t>
  </si>
  <si>
    <t>Risk Buffer 116</t>
  </si>
  <si>
    <t>Risk Buffer 117</t>
  </si>
  <si>
    <t>Risk Buffer 118</t>
  </si>
  <si>
    <t>Risk Buffer 119</t>
  </si>
  <si>
    <t>Risk Buffer 120</t>
  </si>
  <si>
    <t>Risk Buffer 121</t>
  </si>
  <si>
    <t>Risk Buffer 122</t>
  </si>
  <si>
    <t>Risk Buffer 123</t>
  </si>
  <si>
    <t>Risk Buffer 124</t>
  </si>
  <si>
    <t>Risk Buffer 125</t>
  </si>
  <si>
    <t>Risk Buffer 126</t>
  </si>
  <si>
    <t>Risk Buffer 127</t>
  </si>
  <si>
    <t>Risk Buffer 128</t>
  </si>
  <si>
    <t>Risk Buffer 129</t>
  </si>
  <si>
    <t>Risk Buffer 130</t>
  </si>
  <si>
    <t>Risk Buffer 131</t>
  </si>
  <si>
    <t>Risk Buffer 132</t>
  </si>
  <si>
    <t>Risk Buffer 133</t>
  </si>
  <si>
    <t>Risk Buffer 134</t>
  </si>
  <si>
    <t>Risk Buffer 135</t>
  </si>
  <si>
    <t>Risk Buffer 136</t>
  </si>
  <si>
    <t>Risk Buffer 137</t>
  </si>
  <si>
    <t>Risk Buffer 138</t>
  </si>
  <si>
    <t>Risk Buffer 139</t>
  </si>
  <si>
    <t>Risk Buffer 140</t>
  </si>
  <si>
    <t>Risk Buffer 141</t>
  </si>
  <si>
    <t>Risk Buffer 142</t>
  </si>
  <si>
    <t>Risk Buffer 143</t>
  </si>
  <si>
    <t>Risk Buffer 144</t>
  </si>
  <si>
    <t>Risk Buffer 145</t>
  </si>
  <si>
    <t>Risk Buffer 146</t>
  </si>
  <si>
    <t>Risk Buffer 147</t>
  </si>
  <si>
    <t>Risk Buffer 148</t>
  </si>
  <si>
    <t>Risk Buffer 149</t>
  </si>
  <si>
    <t>Risk Buffer 150</t>
  </si>
  <si>
    <t>Risk Buffer 151</t>
  </si>
  <si>
    <t>Risk Buffer 152</t>
  </si>
  <si>
    <t>Risk Buffer 153</t>
  </si>
  <si>
    <t>Risk Buffer 154</t>
  </si>
  <si>
    <t>Risk Buffer 155</t>
  </si>
  <si>
    <t>Risk Buffer 156</t>
  </si>
  <si>
    <t>Risk Buffer 157</t>
  </si>
  <si>
    <t>Risk Buffer 158</t>
  </si>
  <si>
    <t>Risk Buffer 159</t>
  </si>
  <si>
    <t>Risk Buffer 160</t>
  </si>
  <si>
    <t>Risk Buffer 161</t>
  </si>
  <si>
    <t>Risk Buffer 162</t>
  </si>
  <si>
    <t>Risk Buffer 163</t>
  </si>
  <si>
    <t>Risk Buffer 164</t>
  </si>
  <si>
    <t>Risk Buffer 165</t>
  </si>
  <si>
    <t>Risk Buffer 166</t>
  </si>
  <si>
    <t>Risk Buffer 167</t>
  </si>
  <si>
    <t>Risk Buffer 168</t>
  </si>
  <si>
    <t>Risk Buffer 169</t>
  </si>
  <si>
    <t>Risk Buffer 170</t>
  </si>
  <si>
    <t>Risk Buffer 171</t>
  </si>
  <si>
    <t>Risk Buffer 172</t>
  </si>
  <si>
    <t>Risk Buffer 173</t>
  </si>
  <si>
    <t>Risk Buffer 174</t>
  </si>
  <si>
    <t>Risk Buffer 175</t>
  </si>
  <si>
    <t>Risk Buffer 176</t>
  </si>
  <si>
    <t>Risk Buffer 177</t>
  </si>
  <si>
    <t>Risk Buffer 178</t>
  </si>
  <si>
    <t>Risk Buffer 179</t>
  </si>
  <si>
    <t>Risk Buffer 180</t>
  </si>
  <si>
    <t>Risk Buffer 181</t>
  </si>
  <si>
    <t>Risk Buffer 182</t>
  </si>
  <si>
    <t>Risk Buffer 183</t>
  </si>
  <si>
    <t>Risk Buffer 184</t>
  </si>
  <si>
    <t>Risk Buffer 185</t>
  </si>
  <si>
    <t>Risk Buffer 186</t>
  </si>
  <si>
    <t>Risk Buffer 187</t>
  </si>
  <si>
    <t>Risk Buffer 188</t>
  </si>
  <si>
    <t>Risk Buffer 189</t>
  </si>
  <si>
    <t>Risk Buffer 190</t>
  </si>
  <si>
    <t>Risk Buffer 191</t>
  </si>
  <si>
    <t>Risk Buffer 192</t>
  </si>
  <si>
    <t>Risk Buffer 193</t>
  </si>
  <si>
    <t>Risk Buffer 194</t>
  </si>
  <si>
    <t>Risk Buffer 195</t>
  </si>
  <si>
    <t>Risk Buffer 196</t>
  </si>
  <si>
    <t>Risk Buffer 197</t>
  </si>
  <si>
    <t>Risk Buffer 198</t>
  </si>
  <si>
    <t>Risk Buffer 199</t>
  </si>
  <si>
    <t>Risk Buffer 200</t>
  </si>
  <si>
    <t>Risk Buffer 201</t>
  </si>
  <si>
    <t>Risk Buffer 202</t>
  </si>
  <si>
    <t>Risk Buffer 203</t>
  </si>
  <si>
    <t>Risk Buffer 204</t>
  </si>
  <si>
    <t>Risk Buffer 205</t>
  </si>
  <si>
    <t>Risk Buffer 206</t>
  </si>
  <si>
    <t>Risk Buffer 207</t>
  </si>
  <si>
    <t>Risk Buffer 208</t>
  </si>
  <si>
    <t>Risk Buffer 209</t>
  </si>
  <si>
    <t>Risk Buffer 210</t>
  </si>
  <si>
    <t>Risk Buffer 211</t>
  </si>
  <si>
    <t>Risk Buffer 212</t>
  </si>
  <si>
    <t>Risk Buffer 213</t>
  </si>
  <si>
    <t>Risk Buffer 214</t>
  </si>
  <si>
    <t>Risk Buffer 215</t>
  </si>
  <si>
    <t>Risk Buffer 216</t>
  </si>
  <si>
    <t>Risk Buffer 217</t>
  </si>
  <si>
    <t>Risk Buffer 218</t>
  </si>
  <si>
    <t>Risk Buffer 219</t>
  </si>
  <si>
    <t>Risk Buffer 220</t>
  </si>
  <si>
    <t>Risk Buffer 221</t>
  </si>
  <si>
    <t>Risk Buffer 222</t>
  </si>
  <si>
    <t>Risk Buffer 223</t>
  </si>
  <si>
    <t>Risk Buffer 224</t>
  </si>
  <si>
    <t>Risk Buffer 225</t>
  </si>
  <si>
    <t>Risk Buffer 226</t>
  </si>
  <si>
    <t>Risk Buffer 227</t>
  </si>
  <si>
    <t>Risk Buffer 228</t>
  </si>
  <si>
    <t>Risk Buffer 229</t>
  </si>
  <si>
    <t>Risk Buffer 230</t>
  </si>
  <si>
    <t>Risk Buffer 231</t>
  </si>
  <si>
    <t>Risk Buffer 232</t>
  </si>
  <si>
    <t>Risk Buffer 233</t>
  </si>
  <si>
    <t>Risk Buffer 234</t>
  </si>
  <si>
    <t>Risk Buffer 235</t>
  </si>
  <si>
    <t>Risk Buffer 236</t>
  </si>
  <si>
    <t>Risk Buffer 237</t>
  </si>
  <si>
    <t>Risk Buffer 238</t>
  </si>
  <si>
    <t>Risk Buffer 239</t>
  </si>
  <si>
    <t>Risk Buffer 240</t>
  </si>
  <si>
    <t>Risk Buffer 241</t>
  </si>
  <si>
    <t>Risk Buffer 242</t>
  </si>
  <si>
    <t>Risk Buffer 243</t>
  </si>
  <si>
    <t>Risk Buffer 244</t>
  </si>
  <si>
    <t>Risk Buffer 245</t>
  </si>
  <si>
    <t>Risk Buffer 246</t>
  </si>
  <si>
    <t>Risk Buffer 247</t>
  </si>
  <si>
    <t>Risk Buffer 248</t>
  </si>
  <si>
    <t>Risk Buffer 249</t>
  </si>
  <si>
    <t>Risk Buffer 250</t>
  </si>
  <si>
    <t>Risk Buffer 251</t>
  </si>
  <si>
    <t>Risk Buffer 252</t>
  </si>
  <si>
    <t>Risk Buffer 253</t>
  </si>
  <si>
    <t>Risk Buffer 254</t>
  </si>
  <si>
    <t>Risk Buffer 255</t>
  </si>
  <si>
    <t>Risk Buffer 256</t>
  </si>
  <si>
    <t>Risk Buffer 257</t>
  </si>
  <si>
    <t>Risk Buffer 258</t>
  </si>
  <si>
    <t>Risk Buffer 259</t>
  </si>
  <si>
    <t>Risk Buffer 260</t>
  </si>
  <si>
    <t>Risk Buffer 261</t>
  </si>
  <si>
    <t>Risk Buffer 262</t>
  </si>
  <si>
    <t>Risk Buffer 263</t>
  </si>
  <si>
    <t>Risk Buffer 264</t>
  </si>
  <si>
    <t>Risk Buffer 265</t>
  </si>
  <si>
    <t>Risk Buffer 266</t>
  </si>
  <si>
    <t>Risk Buffer 267</t>
  </si>
  <si>
    <t>Risk Buffer 268</t>
  </si>
  <si>
    <t>Risk Buffer 269</t>
  </si>
  <si>
    <t>Risk Buffer 270</t>
  </si>
  <si>
    <t>Risk Buffer 271</t>
  </si>
  <si>
    <t>Risk Buffer 272</t>
  </si>
  <si>
    <t>Risk Buffer 273</t>
  </si>
  <si>
    <t>Risk Buffer 274</t>
  </si>
  <si>
    <t>Risk Buffer 275</t>
  </si>
  <si>
    <t>Risk Buffer 276</t>
  </si>
  <si>
    <t>Risk Buffer 277</t>
  </si>
  <si>
    <t>Risk Buffer 278</t>
  </si>
  <si>
    <t>Risk Buffer 279</t>
  </si>
  <si>
    <t>Risk Buffer 280</t>
  </si>
  <si>
    <t>Risk Buffer 281</t>
  </si>
  <si>
    <t>Risk Buffer 282</t>
  </si>
  <si>
    <t>Risk Buffer 283</t>
  </si>
  <si>
    <t>Risk Buffer 284</t>
  </si>
  <si>
    <t>Risk Buffer 285</t>
  </si>
  <si>
    <t>Risk Buffer 286</t>
  </si>
  <si>
    <t>Risk Buffer 287</t>
  </si>
  <si>
    <t>Risk Buffer 288</t>
  </si>
  <si>
    <t>Risk Buffer 289</t>
  </si>
  <si>
    <t>Risk Buffer 290</t>
  </si>
  <si>
    <t>Risk Buffer 291</t>
  </si>
  <si>
    <t>Risk Buffer 292</t>
  </si>
  <si>
    <t>Risk Buffer 293</t>
  </si>
  <si>
    <t>Risk Buffer 294</t>
  </si>
  <si>
    <t>Risk Buffer 295</t>
  </si>
  <si>
    <t>Risk Buffer 296</t>
  </si>
  <si>
    <t>Risk Buffer 297</t>
  </si>
  <si>
    <t>Risk Buffer 298</t>
  </si>
  <si>
    <t>Risk Buffer 299</t>
  </si>
  <si>
    <t>Risk Buffer 300</t>
  </si>
  <si>
    <t>Risk Buffer 301</t>
  </si>
  <si>
    <t>Risk Buffer 302</t>
  </si>
  <si>
    <t>Risk Buffer 303</t>
  </si>
  <si>
    <t>Risk Buffer 304</t>
  </si>
  <si>
    <t>Risk Buffer 305</t>
  </si>
  <si>
    <t>Risk Buffer 306</t>
  </si>
  <si>
    <t>Risk Buffer 307</t>
  </si>
  <si>
    <t>Risk Buffer 308</t>
  </si>
  <si>
    <t>Risk Buffer 309</t>
  </si>
  <si>
    <t>Risk Buffer 310</t>
  </si>
  <si>
    <t>Risk Buffer 311</t>
  </si>
  <si>
    <t>Risk Buffer 312</t>
  </si>
  <si>
    <t>Risk Buffer 313</t>
  </si>
  <si>
    <t>Risk Buffer 314</t>
  </si>
  <si>
    <t>Risk Buffer 315</t>
  </si>
  <si>
    <t>Risk Buffer 316</t>
  </si>
  <si>
    <t>Risk Buffer 317</t>
  </si>
  <si>
    <t>Risk Buffer 318</t>
  </si>
  <si>
    <t>Risk Buffer 319</t>
  </si>
  <si>
    <t>Risk Buffer 320</t>
  </si>
  <si>
    <t>Risk Buffer 321</t>
  </si>
  <si>
    <t>Risk Buffer 322</t>
  </si>
  <si>
    <t>Risk Buffer 323</t>
  </si>
  <si>
    <t>Risk Buffer 324</t>
  </si>
  <si>
    <t>Risk Buffer 325</t>
  </si>
  <si>
    <t>Risk Buffer 326</t>
  </si>
  <si>
    <t>Risk Buffer 327</t>
  </si>
  <si>
    <t>Risk Buffer 328</t>
  </si>
  <si>
    <t>Risk Buffer 329</t>
  </si>
  <si>
    <t>Risk Buffer 330</t>
  </si>
  <si>
    <t>Risk Buffer 331</t>
  </si>
  <si>
    <t>Risk Buffer 332</t>
  </si>
  <si>
    <t>Risk Buffer 333</t>
  </si>
  <si>
    <t>Risk Buffer 334</t>
  </si>
  <si>
    <t>Risk Buffer 335</t>
  </si>
  <si>
    <t>Risk Buffer 336</t>
  </si>
  <si>
    <t>Risk Buffer 337</t>
  </si>
  <si>
    <t>Risk Buffer 338</t>
  </si>
  <si>
    <t>Risk Buffer 339</t>
  </si>
  <si>
    <t>Risk Buffer 340</t>
  </si>
  <si>
    <t>Risk Buffer 341</t>
  </si>
  <si>
    <t>Risk Buffer 342</t>
  </si>
  <si>
    <t>Risk Buffer 343</t>
  </si>
  <si>
    <t>Risk Buffer 344</t>
  </si>
  <si>
    <t>Risk Buffer 345</t>
  </si>
  <si>
    <t>Risk Buffer 346</t>
  </si>
  <si>
    <t>Risk Buffer 347</t>
  </si>
  <si>
    <t>Risk Buffer 348</t>
  </si>
  <si>
    <t>Risk Buffer 349</t>
  </si>
  <si>
    <t>Risk Buffer 350</t>
  </si>
  <si>
    <t>Risk Buffer 351</t>
  </si>
  <si>
    <t>Risk Buffer 352</t>
  </si>
  <si>
    <t>Risk Buffer 353</t>
  </si>
  <si>
    <t>Risk Buffer 354</t>
  </si>
  <si>
    <t>Risk Buffer 355</t>
  </si>
  <si>
    <t>Risk Buffer 356</t>
  </si>
  <si>
    <t>Risk Buffer 357</t>
  </si>
  <si>
    <t>Risk Buffer 358</t>
  </si>
  <si>
    <t>Risk Buffer 359</t>
  </si>
  <si>
    <t>Risk Buffer 360</t>
  </si>
  <si>
    <t>Risk Buffer 361</t>
  </si>
  <si>
    <t>Risk Buffer 362</t>
  </si>
  <si>
    <t>Risk Buffer 363</t>
  </si>
  <si>
    <t>Risk Buffer 364</t>
  </si>
  <si>
    <t>Risk Buffer 365</t>
  </si>
  <si>
    <t>Risk Buffer 366</t>
  </si>
  <si>
    <t>Risk Buffer 367</t>
  </si>
  <si>
    <t>Risk Buffer 368</t>
  </si>
  <si>
    <t>Risk Buffer 369</t>
  </si>
  <si>
    <t>Risk Buffer 370</t>
  </si>
  <si>
    <t>Risk Buffer 371</t>
  </si>
  <si>
    <t>Risk Buffer 372</t>
  </si>
  <si>
    <t>Risk Buffer 373</t>
  </si>
  <si>
    <t>Risk Buffer 374</t>
  </si>
  <si>
    <t>Risk Buffer 375</t>
  </si>
  <si>
    <t>Risk Buffer 376</t>
  </si>
  <si>
    <t>Risk Buffer 377</t>
  </si>
  <si>
    <t>Risk Buffer 378</t>
  </si>
  <si>
    <t>Risk Buffer 379</t>
  </si>
  <si>
    <t>Risk Buffer 380</t>
  </si>
  <si>
    <t>Risk Buffer 381</t>
  </si>
  <si>
    <t>Risk Buffer 382</t>
  </si>
  <si>
    <t>Risk Buffer 383</t>
  </si>
  <si>
    <t>Risk Buffer 384</t>
  </si>
  <si>
    <t>Risk Buffer 385</t>
  </si>
  <si>
    <t>Risk Buffer 386</t>
  </si>
  <si>
    <t>Risk Buffer 387</t>
  </si>
  <si>
    <t>Risk Buffer 388</t>
  </si>
  <si>
    <t>Risk Buffer 389</t>
  </si>
  <si>
    <t>Risk Buffer 390</t>
  </si>
  <si>
    <t>Risk Buffer 391</t>
  </si>
  <si>
    <t>Risk Buffer 392</t>
  </si>
  <si>
    <t>Risk Buffer 393</t>
  </si>
  <si>
    <t>Risk Buffer 394</t>
  </si>
  <si>
    <t>Risk Buffer 395</t>
  </si>
  <si>
    <t>Risk Buffer 396</t>
  </si>
  <si>
    <t>Risk Buffer 397</t>
  </si>
  <si>
    <t>Risk Buffer 398</t>
  </si>
  <si>
    <t>Risk Buffer 399</t>
  </si>
  <si>
    <t>Risk Buffer 400</t>
  </si>
  <si>
    <t>Risk Buffer 401</t>
  </si>
  <si>
    <t>Risk Buffer 402</t>
  </si>
  <si>
    <t>Risk Buffer 403</t>
  </si>
  <si>
    <t>Risk Buffer 404</t>
  </si>
  <si>
    <t>Risk Buffer 405</t>
  </si>
  <si>
    <t>Risk Buffer 406</t>
  </si>
  <si>
    <t>Risk Buffer 407</t>
  </si>
  <si>
    <t>Risk Buffer 408</t>
  </si>
  <si>
    <t>Risk Buffer 409</t>
  </si>
  <si>
    <t>Risk Buffer 410</t>
  </si>
  <si>
    <t>Risk Buffer 411</t>
  </si>
  <si>
    <t>Risk Buffer 412</t>
  </si>
  <si>
    <t>Risk Buffer 413</t>
  </si>
  <si>
    <t>Risk Buffer 414</t>
  </si>
  <si>
    <t>Risk Buffer 415</t>
  </si>
  <si>
    <t>Risk Buffer 416</t>
  </si>
  <si>
    <t>Risk Buffer 417</t>
  </si>
  <si>
    <t>Risk Buffer 418</t>
  </si>
  <si>
    <t>Risk Buffer 419</t>
  </si>
  <si>
    <t>Risk Buffer 420</t>
  </si>
  <si>
    <t>Risk Buffer 421</t>
  </si>
  <si>
    <t>Risk Buffer 422</t>
  </si>
  <si>
    <t>Risk Buffer 423</t>
  </si>
  <si>
    <t>Risk Buffer 424</t>
  </si>
  <si>
    <t>Risk Buffer 425</t>
  </si>
  <si>
    <t>Risk Buffer 426</t>
  </si>
  <si>
    <t>Risk Buffer 427</t>
  </si>
  <si>
    <t>Risk Buffer 428</t>
  </si>
  <si>
    <t>Risk Buffer 429</t>
  </si>
  <si>
    <t>Risk Buffer 430</t>
  </si>
  <si>
    <t>Risk Buffer 431</t>
  </si>
  <si>
    <t>Risk Buffer 432</t>
  </si>
  <si>
    <t>Risk Buffer 433</t>
  </si>
  <si>
    <t>Risk Buffer 434</t>
  </si>
  <si>
    <t>Risk Buffer 435</t>
  </si>
  <si>
    <t>Risk Buffer 436</t>
  </si>
  <si>
    <t>Risk Buffer 437</t>
  </si>
  <si>
    <t>Risk Buffer 438</t>
  </si>
  <si>
    <t>Risk Buffer 439</t>
  </si>
  <si>
    <t>Risk Buffer 440</t>
  </si>
  <si>
    <t>Risk Buffer 441</t>
  </si>
  <si>
    <t>Risk Buffer 442</t>
  </si>
  <si>
    <t>Risk Buffer 443</t>
  </si>
  <si>
    <t>Risk Buffer 444</t>
  </si>
  <si>
    <t>Risk Buffer 445</t>
  </si>
  <si>
    <t>Risk Buffer 446</t>
  </si>
  <si>
    <t>Risk Buffer 447</t>
  </si>
  <si>
    <t>Risk Buffer 448</t>
  </si>
  <si>
    <t>Risk Buffer 449</t>
  </si>
  <si>
    <t>Risk Buffer 450</t>
  </si>
  <si>
    <t>Risk Buffer 451</t>
  </si>
  <si>
    <t>Risk Buffer 452</t>
  </si>
  <si>
    <t>Risk Buffer 453</t>
  </si>
  <si>
    <t>Risk Buffer 454</t>
  </si>
  <si>
    <t>Risk Buffer 455</t>
  </si>
  <si>
    <t>Risk Buffer 456</t>
  </si>
  <si>
    <t>Risk Buffer 457</t>
  </si>
  <si>
    <t>Risk Buffer 458</t>
  </si>
  <si>
    <t>Risk Buffer 459</t>
  </si>
  <si>
    <t>Risk Buffer 460</t>
  </si>
  <si>
    <t>Risk Buffer 461</t>
  </si>
  <si>
    <t>Risk Buffer 462</t>
  </si>
  <si>
    <t>Risk Buffer 463</t>
  </si>
  <si>
    <t>Risk Buffer 464</t>
  </si>
  <si>
    <t>Risk Buffer 465</t>
  </si>
  <si>
    <t>Risk Buffer 466</t>
  </si>
  <si>
    <t>Risk Buffer 467</t>
  </si>
  <si>
    <t>Risk Buffer 468</t>
  </si>
  <si>
    <t>Risk Buffer 469</t>
  </si>
  <si>
    <t>Risk Buffer 470</t>
  </si>
  <si>
    <t>Risk Buffer 471</t>
  </si>
  <si>
    <t>Risk Buffer 472</t>
  </si>
  <si>
    <t>Risk Buffer 473</t>
  </si>
  <si>
    <t>Risk Buffer 474</t>
  </si>
  <si>
    <t>Risk Buffer 475</t>
  </si>
  <si>
    <t>Risk Buffer 476</t>
  </si>
  <si>
    <t>Risk Buffer 477</t>
  </si>
  <si>
    <t>Risk Buffer 478</t>
  </si>
  <si>
    <t>Risk Buffer 479</t>
  </si>
  <si>
    <t>Risk Buffer 480</t>
  </si>
  <si>
    <t>Risk Buffer 481</t>
  </si>
  <si>
    <t>Risk Buffer 482</t>
  </si>
  <si>
    <t>Risk Buffer 483</t>
  </si>
  <si>
    <t>Risk Buffer 484</t>
  </si>
  <si>
    <t>Risk Buffer 485</t>
  </si>
  <si>
    <t>Risk Buffer 486</t>
  </si>
  <si>
    <t>Risk Buffer 487</t>
  </si>
  <si>
    <t>Risk Buffer 488</t>
  </si>
  <si>
    <t>Risk Buffer 489</t>
  </si>
  <si>
    <t>Risk Buffer 490</t>
  </si>
  <si>
    <t>Risk Buffer 491</t>
  </si>
  <si>
    <t>Risk Buffer 492</t>
  </si>
  <si>
    <t>Risk Buffer 493</t>
  </si>
  <si>
    <t>Risk Buffer 494</t>
  </si>
  <si>
    <t>Risk Buffer 495</t>
  </si>
  <si>
    <t>Risk Buffer 496</t>
  </si>
  <si>
    <t>Risk Buffer 497</t>
  </si>
  <si>
    <t>Risk Buffer 498</t>
  </si>
  <si>
    <t>Risk Buffer 499</t>
  </si>
  <si>
    <t>Risk Buffer 500</t>
  </si>
  <si>
    <t>Risk Buffer 501</t>
  </si>
  <si>
    <t>Risk Buffer 502</t>
  </si>
  <si>
    <t>Risk Buffer 503</t>
  </si>
  <si>
    <t>Risk Buffer 504</t>
  </si>
  <si>
    <t>Risk Buffer 505</t>
  </si>
  <si>
    <t>Risk Buffer 506</t>
  </si>
  <si>
    <t>Risk Buffer 507</t>
  </si>
  <si>
    <t>Risk Buffer 508</t>
  </si>
  <si>
    <t>Risk Buffer 509</t>
  </si>
  <si>
    <t>Risk Buffer 510</t>
  </si>
  <si>
    <t>Risk Buffer 511</t>
  </si>
  <si>
    <t>Risk Buffer 512</t>
  </si>
  <si>
    <t>Risk Buffer 513</t>
  </si>
  <si>
    <t>Risk Buffer 514</t>
  </si>
  <si>
    <t>Risk Buffer 515</t>
  </si>
  <si>
    <t>Risk Buffer 516</t>
  </si>
  <si>
    <t>Risk Buffer 517</t>
  </si>
  <si>
    <t>Risk Buffer 518</t>
  </si>
  <si>
    <t>Risk Buffer 519</t>
  </si>
  <si>
    <t>Risk Buffer 520</t>
  </si>
  <si>
    <t>Risk Buffer 521</t>
  </si>
  <si>
    <t>Risk Buffer 522</t>
  </si>
  <si>
    <t>Risk Buffer 523</t>
  </si>
  <si>
    <t>Risk Buffer 524</t>
  </si>
  <si>
    <t>Risk Buffer 525</t>
  </si>
  <si>
    <t>Risk Buffer 526</t>
  </si>
  <si>
    <t>Risk Buffer 527</t>
  </si>
  <si>
    <t>Risk Buffer 528</t>
  </si>
  <si>
    <t>Risk Buffer 529</t>
  </si>
  <si>
    <t>Risk Buffer 530</t>
  </si>
  <si>
    <t>Risk Buffer 531</t>
  </si>
  <si>
    <t>Risk Buffer 532</t>
  </si>
  <si>
    <t>Risk Buffer 533</t>
  </si>
  <si>
    <t>Risk Buffer 534</t>
  </si>
  <si>
    <t>Risk Buffer 535</t>
  </si>
  <si>
    <t>Risk Buffer 536</t>
  </si>
  <si>
    <t>Risk Buffer 537</t>
  </si>
  <si>
    <t>Risk Buffer 538</t>
  </si>
  <si>
    <t>Risk Buffer 539</t>
  </si>
  <si>
    <t>Risk Buffer 540</t>
  </si>
  <si>
    <t>Risk Buffer 541</t>
  </si>
  <si>
    <t>Risk Buffer 542</t>
  </si>
  <si>
    <t>Risk Buffer 543</t>
  </si>
  <si>
    <t>Risk Buffer 544</t>
  </si>
  <si>
    <t>Risk Buffer 545</t>
  </si>
  <si>
    <t>Risk Buffer 546</t>
  </si>
  <si>
    <t>Risk Buffer 547</t>
  </si>
  <si>
    <t>Risk Buffer 548</t>
  </si>
  <si>
    <t>Risk Buffer 549</t>
  </si>
  <si>
    <t>Risk Buffer 550</t>
  </si>
  <si>
    <t>Risk Buffer 551</t>
  </si>
  <si>
    <t>Risk Buffer 552</t>
  </si>
  <si>
    <t>Risk Buffer 553</t>
  </si>
  <si>
    <t>Risk Buffer 554</t>
  </si>
  <si>
    <t>Risk Buffer 555</t>
  </si>
  <si>
    <t>Risk Buffer 556</t>
  </si>
  <si>
    <t>Risk Buffer 557</t>
  </si>
  <si>
    <t>Risk Buffer 558</t>
  </si>
  <si>
    <t>Risk Buffer 559</t>
  </si>
  <si>
    <t>Risk Buffer 560</t>
  </si>
  <si>
    <t>Risk Buffer 561</t>
  </si>
  <si>
    <t>Risk Buffer 562</t>
  </si>
  <si>
    <t>Risk Buffer 563</t>
  </si>
  <si>
    <t>Risk Buffer 564</t>
  </si>
  <si>
    <t>Risk Buffer 565</t>
  </si>
  <si>
    <t>Risk Buffer 566</t>
  </si>
  <si>
    <t>Risk Buffer 567</t>
  </si>
  <si>
    <t>Risk Buffer 568</t>
  </si>
  <si>
    <t>Risk Buffer 569</t>
  </si>
  <si>
    <t>Risk Buffer 570</t>
  </si>
  <si>
    <t>Risk Buffer 571</t>
  </si>
  <si>
    <t>Risk Buffer 572</t>
  </si>
  <si>
    <t>Risk Buffer 573</t>
  </si>
  <si>
    <t>Risk Buffer 574</t>
  </si>
  <si>
    <t>Risk Buffer 575</t>
  </si>
  <si>
    <t>Risk Buffer 576</t>
  </si>
  <si>
    <t>Risk Buffer 577</t>
  </si>
  <si>
    <t>Risk Buffer 578</t>
  </si>
  <si>
    <t>Risk Buffer 579</t>
  </si>
  <si>
    <t>Risk Buffer 580</t>
  </si>
  <si>
    <t>Risk Buffer 581</t>
  </si>
  <si>
    <t>Risk Buffer 582</t>
  </si>
  <si>
    <t>Risk Buffer 583</t>
  </si>
  <si>
    <t>Risk Buffer 584</t>
  </si>
  <si>
    <t>Risk Buffer 585</t>
  </si>
  <si>
    <t>Risk Buffer 586</t>
  </si>
  <si>
    <t>Risk Buffer 587</t>
  </si>
  <si>
    <t>Risk Buffer 588</t>
  </si>
  <si>
    <t>Risk Buffer 589</t>
  </si>
  <si>
    <t>Risk Buffer 590</t>
  </si>
  <si>
    <t>Risk Buffer 591</t>
  </si>
  <si>
    <t>Risk Buffer 592</t>
  </si>
  <si>
    <t>Risk Buffer 593</t>
  </si>
  <si>
    <t>Risk Buffer 594</t>
  </si>
  <si>
    <t>Risk Buffer 595</t>
  </si>
  <si>
    <t>Risk Buffer 596</t>
  </si>
  <si>
    <t>Risk Buffer 597</t>
  </si>
  <si>
    <t>Risk Buffer 598</t>
  </si>
  <si>
    <t>Risk Buffer 599</t>
  </si>
  <si>
    <t>Risk Buffer 600</t>
  </si>
  <si>
    <t>Risk Buffer 601</t>
  </si>
  <si>
    <t>Risk Buffer 602</t>
  </si>
  <si>
    <t>Risk Buffer 603</t>
  </si>
  <si>
    <t>Risk Buffer 604</t>
  </si>
  <si>
    <t>Risk Buffer 605</t>
  </si>
  <si>
    <t>Risk Buffer 606</t>
  </si>
  <si>
    <t>Risk Buffer 607</t>
  </si>
  <si>
    <t>Risk Buffer 608</t>
  </si>
  <si>
    <t>Risk Buffer 609</t>
  </si>
  <si>
    <t>Risk Buffer 610</t>
  </si>
  <si>
    <t>Risk Buffer 611</t>
  </si>
  <si>
    <t>Risk Buffer 612</t>
  </si>
  <si>
    <t>Risk Buffer 613</t>
  </si>
  <si>
    <t>Risk Buffer 614</t>
  </si>
  <si>
    <t>Risk Buffer 615</t>
  </si>
  <si>
    <t>Risk Buffer 616</t>
  </si>
  <si>
    <t>Risk Buffer 617</t>
  </si>
  <si>
    <t>Risk Buffer 618</t>
  </si>
  <si>
    <t>Risk Buffer 619</t>
  </si>
  <si>
    <t>Risk Buffer 620</t>
  </si>
  <si>
    <t>Risk Buffer 621</t>
  </si>
  <si>
    <t>Risk Buffer 622</t>
  </si>
  <si>
    <t>Risk Buffer 623</t>
  </si>
  <si>
    <t>Risk Buffer 624</t>
  </si>
  <si>
    <t>Risk Buffer 625</t>
  </si>
  <si>
    <t>Risk Buffer 626</t>
  </si>
  <si>
    <t>Risk Buffer 627</t>
  </si>
  <si>
    <t>Risk Buffer 628</t>
  </si>
  <si>
    <t>Risk Buffer 629</t>
  </si>
  <si>
    <t>Risk Buffer 630</t>
  </si>
  <si>
    <t>Risk Buffer 631</t>
  </si>
  <si>
    <t>Risk Buffer 632</t>
  </si>
  <si>
    <t>Risk Buffer 633</t>
  </si>
  <si>
    <t>Risk Buffer 634</t>
  </si>
  <si>
    <t>Risk Buffer 635</t>
  </si>
  <si>
    <t>Risk Buffer 636</t>
  </si>
  <si>
    <t>Risk Buffer 637</t>
  </si>
  <si>
    <t>Risk Buffer 638</t>
  </si>
  <si>
    <t>Risk Buffer 639</t>
  </si>
  <si>
    <t>Risk Buffer 640</t>
  </si>
  <si>
    <t>Risk Buffer 641</t>
  </si>
  <si>
    <t>Risk Buffer 642</t>
  </si>
  <si>
    <t>Risk Buffer 643</t>
  </si>
  <si>
    <t>Risk Buffer 644</t>
  </si>
  <si>
    <t>Risk Buffer 645</t>
  </si>
  <si>
    <t>Risk Buffer 646</t>
  </si>
  <si>
    <t>Risk Buffer 647</t>
  </si>
  <si>
    <t>Risk Buffer 648</t>
  </si>
  <si>
    <t>Risk Buffer 649</t>
  </si>
  <si>
    <t>Risk Buffer 650</t>
  </si>
  <si>
    <t>Risk Buffer 651</t>
  </si>
  <si>
    <t>Risk Buffer 652</t>
  </si>
  <si>
    <t>Risk Buffer 653</t>
  </si>
  <si>
    <t>Risk Buffer 654</t>
  </si>
  <si>
    <t>Risk Buffer 655</t>
  </si>
  <si>
    <t>Risk Buffer 656</t>
  </si>
  <si>
    <t>Risk Buffer 657</t>
  </si>
  <si>
    <t>Risk Buffer 658</t>
  </si>
  <si>
    <t>Risk Buffer 659</t>
  </si>
  <si>
    <t>Risk Buffer 660</t>
  </si>
  <si>
    <t>Risk Buffer 661</t>
  </si>
  <si>
    <t>Risk Buffer 662</t>
  </si>
  <si>
    <t>Risk Buffer 663</t>
  </si>
  <si>
    <t>Risk Buffer 664</t>
  </si>
  <si>
    <t>Risk Buffer 665</t>
  </si>
  <si>
    <t>Risk Buffer 666</t>
  </si>
  <si>
    <t>Risk Buffer 667</t>
  </si>
  <si>
    <t>Risk Buffer 668</t>
  </si>
  <si>
    <t>Risk Buffer 669</t>
  </si>
  <si>
    <t>Risk Buffer 670</t>
  </si>
  <si>
    <t>Risk Buffer 671</t>
  </si>
  <si>
    <t>Risk Buffer 672</t>
  </si>
  <si>
    <t>Risk Buffer 673</t>
  </si>
  <si>
    <t>Risk Buffer 674</t>
  </si>
  <si>
    <t>Risk Buffer 675</t>
  </si>
  <si>
    <t>Risk Buffer 676</t>
  </si>
  <si>
    <t>Risk Buffer 677</t>
  </si>
  <si>
    <t>Risk Buffer 678</t>
  </si>
  <si>
    <t>Risk Buffer 679</t>
  </si>
  <si>
    <t>Risk Buffer 680</t>
  </si>
  <si>
    <t>Risk Buffer 681</t>
  </si>
  <si>
    <t>Risk Buffer 682</t>
  </si>
  <si>
    <t>Risk Buffer 683</t>
  </si>
  <si>
    <t>Risk Buffer 684</t>
  </si>
  <si>
    <t>Risk Buffer 685</t>
  </si>
  <si>
    <t>Risk Buffer 686</t>
  </si>
  <si>
    <t>Risk Buffer 687</t>
  </si>
  <si>
    <t>Risk Buffer 688</t>
  </si>
  <si>
    <t>Risk Buffer 689</t>
  </si>
  <si>
    <t>Risk Buffer 690</t>
  </si>
  <si>
    <t>Risk Buffer 691</t>
  </si>
  <si>
    <t>Risk Buffer 692</t>
  </si>
  <si>
    <t>Risk Buffer 693</t>
  </si>
  <si>
    <t>Risk Buffer 694</t>
  </si>
  <si>
    <t>Risk Buffer 695</t>
  </si>
  <si>
    <t>Risk Buffer 696</t>
  </si>
  <si>
    <t>Risk Buffer 697</t>
  </si>
  <si>
    <t>Risk Buffer 698</t>
  </si>
  <si>
    <t>Risk Buffer 699</t>
  </si>
  <si>
    <t>Risk Buffer 700</t>
  </si>
  <si>
    <t>Risk Buffer 701</t>
  </si>
  <si>
    <t>Risk Buffer 702</t>
  </si>
  <si>
    <t>Risk Buffer 703</t>
  </si>
  <si>
    <t>Risk Buffer 704</t>
  </si>
  <si>
    <t>Risk Buffer 705</t>
  </si>
  <si>
    <t>Risk Buffer 706</t>
  </si>
  <si>
    <t>Risk Buffer 707</t>
  </si>
  <si>
    <t>Risk Buffer 708</t>
  </si>
  <si>
    <t>Risk Buffer 709</t>
  </si>
  <si>
    <t>Risk Buffer 710</t>
  </si>
  <si>
    <t>Risk Buffer 711</t>
  </si>
  <si>
    <t>Risk Buffer 712</t>
  </si>
  <si>
    <t>Risk Buffer 713</t>
  </si>
  <si>
    <t>Risk Buffer 714</t>
  </si>
  <si>
    <t>Risk Buffer 715</t>
  </si>
  <si>
    <t>Risk Buffer 716</t>
  </si>
  <si>
    <t>Risk Buffer 717</t>
  </si>
  <si>
    <t>Risk Buffer 718</t>
  </si>
  <si>
    <t>Risk Buffer 719</t>
  </si>
  <si>
    <t>Risk Buffer 720</t>
  </si>
  <si>
    <t>Risk Buffer 721</t>
  </si>
  <si>
    <t>Risk Buffer 722</t>
  </si>
  <si>
    <t>Risk Buffer 723</t>
  </si>
  <si>
    <t>Risk Buffer 724</t>
  </si>
  <si>
    <t>Risk Buffer 725</t>
  </si>
  <si>
    <t>Risk Buffer 726</t>
  </si>
  <si>
    <t>Risk Buffer 727</t>
  </si>
  <si>
    <t>Risk Buffer 728</t>
  </si>
  <si>
    <t>Risk Buffer 729</t>
  </si>
  <si>
    <t>Risk Buffer 730</t>
  </si>
  <si>
    <t>Risk Buffer 731</t>
  </si>
  <si>
    <t>Risk Buffer 732</t>
  </si>
  <si>
    <t>Risk Buffer 733</t>
  </si>
  <si>
    <t>Risk Buffer 734</t>
  </si>
  <si>
    <t>Risk Buffer 735</t>
  </si>
  <si>
    <t>Risk Buffer 736</t>
  </si>
  <si>
    <t>Risk Buffer 737</t>
  </si>
  <si>
    <t>Risk Buffer 738</t>
  </si>
  <si>
    <t>Risk Buffer 739</t>
  </si>
  <si>
    <t>Risk Buffer 740</t>
  </si>
  <si>
    <t>Risk Buffer 741</t>
  </si>
  <si>
    <t>Risk Buffer 742</t>
  </si>
  <si>
    <t>Risk Buffer 743</t>
  </si>
  <si>
    <t>Risk Buffer 744</t>
  </si>
  <si>
    <t>Risk Buffer 745</t>
  </si>
  <si>
    <t>Risk Buffer 746</t>
  </si>
  <si>
    <t>Risk Buffer 747</t>
  </si>
  <si>
    <t>Risk Buffer 748</t>
  </si>
  <si>
    <t>Risk Buffer 749</t>
  </si>
  <si>
    <t>Risk Buffer 750</t>
  </si>
  <si>
    <t>Risk Buffer 751</t>
  </si>
  <si>
    <t>Risk Buffer 752</t>
  </si>
  <si>
    <t>Risk Buffer 753</t>
  </si>
  <si>
    <t>Risk Buffer 754</t>
  </si>
  <si>
    <t>Risk Buffer 755</t>
  </si>
  <si>
    <t>Risk Buffer 756</t>
  </si>
  <si>
    <t>Risk Buffer 757</t>
  </si>
  <si>
    <t>Risk Buffer 758</t>
  </si>
  <si>
    <t>Risk Buffer 759</t>
  </si>
  <si>
    <t>Risk Buffer 760</t>
  </si>
  <si>
    <t>Risk Buffer 761</t>
  </si>
  <si>
    <t>Risk Buffer 762</t>
  </si>
  <si>
    <t>Risk Buffer 763</t>
  </si>
  <si>
    <t>Risk Buffer 764</t>
  </si>
  <si>
    <t>Risk Buffer 765</t>
  </si>
  <si>
    <t>Risk Buffer 766</t>
  </si>
  <si>
    <t>Risk Buffer 767</t>
  </si>
  <si>
    <t>Risk Buffer 768</t>
  </si>
  <si>
    <t>Risk Buffer 769</t>
  </si>
  <si>
    <t>Risk Buffer 770</t>
  </si>
  <si>
    <t>Risk Buffer 771</t>
  </si>
  <si>
    <t>Risk Buffer 772</t>
  </si>
  <si>
    <t>Risk Buffer 773</t>
  </si>
  <si>
    <t>Risk Buffer 774</t>
  </si>
  <si>
    <t>Risk Buffer 775</t>
  </si>
  <si>
    <t>Risk Buffer 776</t>
  </si>
  <si>
    <t>Risk Buffer 777</t>
  </si>
  <si>
    <t>Risk Buffer 778</t>
  </si>
  <si>
    <t>Risk Buffer 779</t>
  </si>
  <si>
    <t>Risk Buffer 780</t>
  </si>
  <si>
    <t>Risk Buffer 781</t>
  </si>
  <si>
    <t>Risk Buffer 782</t>
  </si>
  <si>
    <t>Risk Buffer 783</t>
  </si>
  <si>
    <t>Risk Buffer 784</t>
  </si>
  <si>
    <t>Risk Buffer 785</t>
  </si>
  <si>
    <t>Risk Buffer 786</t>
  </si>
  <si>
    <t>Risk Buffer 787</t>
  </si>
  <si>
    <t>Risk Buffer 788</t>
  </si>
  <si>
    <t>Risk Buffer 789</t>
  </si>
  <si>
    <t>Risk Buffer 790</t>
  </si>
  <si>
    <t>Risk Buffer 791</t>
  </si>
  <si>
    <t>Risk Buffer 792</t>
  </si>
  <si>
    <t>Risk Buffer 793</t>
  </si>
  <si>
    <t>Risk Buffer 794</t>
  </si>
  <si>
    <t>Risk Buffer 795</t>
  </si>
  <si>
    <t>Risk Buffer 796</t>
  </si>
  <si>
    <t>Risk Buffer 797</t>
  </si>
  <si>
    <t>Risk Buffer 798</t>
  </si>
  <si>
    <t>Risk Buffer 799</t>
  </si>
  <si>
    <t>Risk Buffer 800</t>
  </si>
  <si>
    <t>Risk Buffer 801</t>
  </si>
  <si>
    <t>Risk Buffer 802</t>
  </si>
  <si>
    <t>Risk Buffer 803</t>
  </si>
  <si>
    <t>Risk Buffer 804</t>
  </si>
  <si>
    <t>Risk Buffer 805</t>
  </si>
  <si>
    <t>Risk Buffer 806</t>
  </si>
  <si>
    <t>Risk Buffer 807</t>
  </si>
  <si>
    <t>Risk Buffer 808</t>
  </si>
  <si>
    <t>Risk Buffer 809</t>
  </si>
  <si>
    <t>Risk Buffer 810</t>
  </si>
  <si>
    <t>Risk Buffer 811</t>
  </si>
  <si>
    <t>Risk Buffer 812</t>
  </si>
  <si>
    <t>Risk Buffer 813</t>
  </si>
  <si>
    <t>Risk Buffer 814</t>
  </si>
  <si>
    <t>Risk Buffer 815</t>
  </si>
  <si>
    <t>Risk Buffer 816</t>
  </si>
  <si>
    <t>Risk Buffer 817</t>
  </si>
  <si>
    <t>Risk Buffer 818</t>
  </si>
  <si>
    <t>Risk Buffer 819</t>
  </si>
  <si>
    <t>Risk Buffer 820</t>
  </si>
  <si>
    <t>Risk Buffer 821</t>
  </si>
  <si>
    <t>Risk Buffer 822</t>
  </si>
  <si>
    <t>Risk Buffer 823</t>
  </si>
  <si>
    <t>Risk Buffer 824</t>
  </si>
  <si>
    <t>Risk Buffer 825</t>
  </si>
  <si>
    <t>Risk Buffer 826</t>
  </si>
  <si>
    <t>Risk Buffer 827</t>
  </si>
  <si>
    <t>Risk Buffer 828</t>
  </si>
  <si>
    <t>Risk Buffer 829</t>
  </si>
  <si>
    <t>Risk Buffer 830</t>
  </si>
  <si>
    <t>Risk Buffer 831</t>
  </si>
  <si>
    <t>Risk Buffer 832</t>
  </si>
  <si>
    <t>Risk Buffer 833</t>
  </si>
  <si>
    <t>Risk Buffer 834</t>
  </si>
  <si>
    <t>Risk Buffer 835</t>
  </si>
  <si>
    <t>Risk Buffer 836</t>
  </si>
  <si>
    <t>Risk Buffer 837</t>
  </si>
  <si>
    <t>Risk Buffer 838</t>
  </si>
  <si>
    <t>Risk Buffer 839</t>
  </si>
  <si>
    <t>Risk Buffer 840</t>
  </si>
  <si>
    <t>Risk Buffer 841</t>
  </si>
  <si>
    <t>Risk Buffer 842</t>
  </si>
  <si>
    <t>Risk Buffer 843</t>
  </si>
  <si>
    <t>Risk Buffer 844</t>
  </si>
  <si>
    <t>Risk Buffer 845</t>
  </si>
  <si>
    <t>Risk Buffer 846</t>
  </si>
  <si>
    <t>Risk Buffer 847</t>
  </si>
  <si>
    <t>Risk Buffer 848</t>
  </si>
  <si>
    <t>Risk Buffer 849</t>
  </si>
  <si>
    <t>Risk Buffer 850</t>
  </si>
  <si>
    <t>Risk Buffer 851</t>
  </si>
  <si>
    <t>Risk Buffer 852</t>
  </si>
  <si>
    <t>Risk Buffer 853</t>
  </si>
  <si>
    <t>Risk Buffer 854</t>
  </si>
  <si>
    <t>Risk Buffer 855</t>
  </si>
  <si>
    <t>Risk Buffer 856</t>
  </si>
  <si>
    <t>Risk Buffer 857</t>
  </si>
  <si>
    <t>Risk Buffer 858</t>
  </si>
  <si>
    <t>Risk Buffer 859</t>
  </si>
  <si>
    <t>Risk Buffer 860</t>
  </si>
  <si>
    <t>Risk Buffer 861</t>
  </si>
  <si>
    <t>Risk Buffer 862</t>
  </si>
  <si>
    <t>Risk Buffer 863</t>
  </si>
  <si>
    <t>Risk Buffer 864</t>
  </si>
  <si>
    <t>Risk Buffer 865</t>
  </si>
  <si>
    <t>Risk Buffer 866</t>
  </si>
  <si>
    <t>Risk Buffer 867</t>
  </si>
  <si>
    <t>Risk Buffer 868</t>
  </si>
  <si>
    <t>Risk Buffer 869</t>
  </si>
  <si>
    <t>Risk Buffer 870</t>
  </si>
  <si>
    <t>Risk Buffer 871</t>
  </si>
  <si>
    <t>Risk Buffer 872</t>
  </si>
  <si>
    <t>Risk Buffer 873</t>
  </si>
  <si>
    <t>Risk Buffer 874</t>
  </si>
  <si>
    <t>Risk Buffer 875</t>
  </si>
  <si>
    <t>Risk Buffer 876</t>
  </si>
  <si>
    <t>Risk Buffer 877</t>
  </si>
  <si>
    <t>Risk Buffer 878</t>
  </si>
  <si>
    <t>Risk Buffer 879</t>
  </si>
  <si>
    <t>Risk Buffer 880</t>
  </si>
  <si>
    <t>Risk Buffer 881</t>
  </si>
  <si>
    <t>Risk Buffer 882</t>
  </si>
  <si>
    <t>Risk Buffer 883</t>
  </si>
  <si>
    <t>Risk Buffer 884</t>
  </si>
  <si>
    <t>Risk Buffer 885</t>
  </si>
  <si>
    <t>Risk Buffer 886</t>
  </si>
  <si>
    <t>Risk Buffer 887</t>
  </si>
  <si>
    <t>Risk Buffer 888</t>
  </si>
  <si>
    <t>Risk Buffer 889</t>
  </si>
  <si>
    <t>Risk Buffer 890</t>
  </si>
  <si>
    <t>Risk Buffer 891</t>
  </si>
  <si>
    <t>Risk Buffer 892</t>
  </si>
  <si>
    <t>Risk Buffer 893</t>
  </si>
  <si>
    <t>Risk Buffer 894</t>
  </si>
  <si>
    <t>Risk Buffer 895</t>
  </si>
  <si>
    <t>Risk Buffer 896</t>
  </si>
  <si>
    <t>Risk Buffer 897</t>
  </si>
  <si>
    <t>Risk Buffer 898</t>
  </si>
  <si>
    <t>Risk Buffer 899</t>
  </si>
  <si>
    <t>Risk Buffer 900</t>
  </si>
  <si>
    <t>Risk Buffer 901</t>
  </si>
  <si>
    <t>Risk Buffer 902</t>
  </si>
  <si>
    <t>Risk Buffer 903</t>
  </si>
  <si>
    <t>Risk Buffer 904</t>
  </si>
  <si>
    <t>Risk Buffer 905</t>
  </si>
  <si>
    <t>Risk Buffer 906</t>
  </si>
  <si>
    <t>Risk Buffer 907</t>
  </si>
  <si>
    <t>Risk Buffer 908</t>
  </si>
  <si>
    <t>Risk Buffer 909</t>
  </si>
  <si>
    <t>Risk Buffer 910</t>
  </si>
  <si>
    <t>Risk Buffer 911</t>
  </si>
  <si>
    <t>Risk Buffer 912</t>
  </si>
  <si>
    <t>Risk Buffer 913</t>
  </si>
  <si>
    <t>Risk Buffer 914</t>
  </si>
  <si>
    <t>Risk Buffer 915</t>
  </si>
  <si>
    <t>Risk Buffer 916</t>
  </si>
  <si>
    <t>Risk Buffer 917</t>
  </si>
  <si>
    <t>Risk Buffer 918</t>
  </si>
  <si>
    <t>Risk Buffer 919</t>
  </si>
  <si>
    <t>Risk Buffer 920</t>
  </si>
  <si>
    <t>Risk Buffer 921</t>
  </si>
  <si>
    <t>Risk Buffer 922</t>
  </si>
  <si>
    <t>Risk Buffer 923</t>
  </si>
  <si>
    <t>Risk Buffer 924</t>
  </si>
  <si>
    <t>Risk Buffer 925</t>
  </si>
  <si>
    <t>Risk Buffer 926</t>
  </si>
  <si>
    <t>Risk Buffer 927</t>
  </si>
  <si>
    <t>Risk Buffer 928</t>
  </si>
  <si>
    <t>Risk Buffer 929</t>
  </si>
  <si>
    <t>Risk Buffer 930</t>
  </si>
  <si>
    <t>Risk Buffer 931</t>
  </si>
  <si>
    <t>Risk Buffer 932</t>
  </si>
  <si>
    <t>Risk Buffer 933</t>
  </si>
  <si>
    <t>Risk Buffer 934</t>
  </si>
  <si>
    <t>Risk Buffer 935</t>
  </si>
  <si>
    <t>Risk Buffer 936</t>
  </si>
  <si>
    <t>Risk Buffer 937</t>
  </si>
  <si>
    <t>Risk Buffer 938</t>
  </si>
  <si>
    <t>Risk Buffer 939</t>
  </si>
  <si>
    <t>Risk Buffer 940</t>
  </si>
  <si>
    <t>Risk Buffer 941</t>
  </si>
  <si>
    <t>Risk Buffer 942</t>
  </si>
  <si>
    <t>Risk Buffer 943</t>
  </si>
  <si>
    <t>Risk Buffer 944</t>
  </si>
  <si>
    <t>Risk Buffer 945</t>
  </si>
  <si>
    <t>Risk Buffer 946</t>
  </si>
  <si>
    <t>Risk Buffer 947</t>
  </si>
  <si>
    <t>Risk Buffer 948</t>
  </si>
  <si>
    <t>Risk Buffer 949</t>
  </si>
  <si>
    <t>Risk Buffer 950</t>
  </si>
  <si>
    <t>Risk Buffer 951</t>
  </si>
  <si>
    <t>Risk Buffer 952</t>
  </si>
  <si>
    <t>Risk Buffer 953</t>
  </si>
  <si>
    <t>Risk Buffer 954</t>
  </si>
  <si>
    <t>Risk Buffer 955</t>
  </si>
  <si>
    <t>Risk Buffer 956</t>
  </si>
  <si>
    <t>Risk Buffer 957</t>
  </si>
  <si>
    <t>Risk Buffer 958</t>
  </si>
  <si>
    <t>Risk Buffer 959</t>
  </si>
  <si>
    <t>Risk Buffer 960</t>
  </si>
  <si>
    <t>Risk Buffer 961</t>
  </si>
  <si>
    <t>Risk Buffer 962</t>
  </si>
  <si>
    <t>Risk Buffer 963</t>
  </si>
  <si>
    <t>Risk Buffer 964</t>
  </si>
  <si>
    <t>Risk Buffer 965</t>
  </si>
  <si>
    <t>Risk Buffer 966</t>
  </si>
  <si>
    <t>Risk Buffer 967</t>
  </si>
  <si>
    <t>Risk Buffer 968</t>
  </si>
  <si>
    <t>Risk Buffer 969</t>
  </si>
  <si>
    <t>Risk Buffer 970</t>
  </si>
  <si>
    <t>Risk Buffer 971</t>
  </si>
  <si>
    <t>Risk Buffer 972</t>
  </si>
  <si>
    <t>Risk Buffer 973</t>
  </si>
  <si>
    <t>Risk Buffer 974</t>
  </si>
  <si>
    <t>Risk Buffer 975</t>
  </si>
  <si>
    <t>Risk Buffer 976</t>
  </si>
  <si>
    <t>Risk Buffer 977</t>
  </si>
  <si>
    <t>Risk Buffer 978</t>
  </si>
  <si>
    <t>Risk Buffer 979</t>
  </si>
  <si>
    <t>Risk Buffer 980</t>
  </si>
  <si>
    <t>Risk Buffer 981</t>
  </si>
  <si>
    <t>Risk Buffer 982</t>
  </si>
  <si>
    <t>Risk Buffer 983</t>
  </si>
  <si>
    <t>Risk Buffer 984</t>
  </si>
  <si>
    <t>Risk Buffer 985</t>
  </si>
  <si>
    <t>Risk Buffer 986</t>
  </si>
  <si>
    <t>Risk Buffer 987</t>
  </si>
  <si>
    <t>Risk Buffer 988</t>
  </si>
  <si>
    <t>Risk Buffer 989</t>
  </si>
  <si>
    <t>Risk Buffer 990</t>
  </si>
  <si>
    <t>Risk Buffer 991</t>
  </si>
  <si>
    <t>Risk Buffer 992</t>
  </si>
  <si>
    <t>Risk Buffer 993</t>
  </si>
  <si>
    <t>Risk Buffer 994</t>
  </si>
  <si>
    <t>Risk Buffer 995</t>
  </si>
  <si>
    <t>Risk Buffer 996</t>
  </si>
  <si>
    <t>Risk Buffer 997</t>
  </si>
  <si>
    <t>Risk Buffer 998</t>
  </si>
  <si>
    <t>Risk Buffer 999</t>
  </si>
  <si>
    <t>Risk Buffer 1000</t>
  </si>
  <si>
    <t>Risk Buffer 1001</t>
  </si>
  <si>
    <t>Applied to subtotal (excludes discount). What it means : Extra margin to cover uncertainties—scope creep, dependency delays, client-side delays. Why it matters : Protects profitability when unknowns arise. Impact on pricing : Typically +5% to +15% added to subtotal before discount.</t>
  </si>
  <si>
    <t>Various discount multiplier. Applied after risk buffer</t>
  </si>
  <si>
    <t>Contigency</t>
  </si>
  <si>
    <t>Contigency 1</t>
  </si>
  <si>
    <t>Contigency 2</t>
  </si>
  <si>
    <t>CON 1</t>
  </si>
  <si>
    <t>CON 2</t>
  </si>
  <si>
    <t>CON 3</t>
  </si>
  <si>
    <t>Contigency 3</t>
  </si>
  <si>
    <t>CON 4</t>
  </si>
  <si>
    <t>Contigency 4</t>
  </si>
  <si>
    <t>CON 5</t>
  </si>
  <si>
    <t>Contigency 5</t>
  </si>
  <si>
    <t>CON 6</t>
  </si>
  <si>
    <t>Contigency 6</t>
  </si>
  <si>
    <t>CON 7</t>
  </si>
  <si>
    <t>Contigency 7</t>
  </si>
  <si>
    <t>CON 8</t>
  </si>
  <si>
    <t>Contigency 8</t>
  </si>
  <si>
    <t>CON 9</t>
  </si>
  <si>
    <t>Contigency 9</t>
  </si>
  <si>
    <t>CON 10</t>
  </si>
  <si>
    <t>Contigency 10</t>
  </si>
  <si>
    <t>CON 11</t>
  </si>
  <si>
    <t>Contigency 11</t>
  </si>
  <si>
    <t>CON 12</t>
  </si>
  <si>
    <t>Contigency 12</t>
  </si>
  <si>
    <t>CON 13</t>
  </si>
  <si>
    <t>Contigency 13</t>
  </si>
  <si>
    <t>CON 14</t>
  </si>
  <si>
    <t>Contigency 14</t>
  </si>
  <si>
    <t>CON 15</t>
  </si>
  <si>
    <t>Contigency 15</t>
  </si>
  <si>
    <t>CON 16</t>
  </si>
  <si>
    <t>Contigency 16</t>
  </si>
  <si>
    <t>CON 17</t>
  </si>
  <si>
    <t>Contigency 17</t>
  </si>
  <si>
    <t>CON 18</t>
  </si>
  <si>
    <t>Contigency 18</t>
  </si>
  <si>
    <t>CON 19</t>
  </si>
  <si>
    <t>Contigency 19</t>
  </si>
  <si>
    <t>CON 20</t>
  </si>
  <si>
    <t>Contigency 20</t>
  </si>
  <si>
    <t>CON 21</t>
  </si>
  <si>
    <t>Contigency 21</t>
  </si>
  <si>
    <t>CON 22</t>
  </si>
  <si>
    <t>Contigency 22</t>
  </si>
  <si>
    <t>CON 23</t>
  </si>
  <si>
    <t>Contigency 23</t>
  </si>
  <si>
    <t>CON 24</t>
  </si>
  <si>
    <t>Contigency 24</t>
  </si>
  <si>
    <t>CON 25</t>
  </si>
  <si>
    <t>Contigency 25</t>
  </si>
  <si>
    <t>CON 26</t>
  </si>
  <si>
    <t>Contigency 26</t>
  </si>
  <si>
    <t>CON 27</t>
  </si>
  <si>
    <t>Contigency 27</t>
  </si>
  <si>
    <t>CON 28</t>
  </si>
  <si>
    <t>Contigency 28</t>
  </si>
  <si>
    <t>CON 29</t>
  </si>
  <si>
    <t>Contigency 29</t>
  </si>
  <si>
    <t>CON 30</t>
  </si>
  <si>
    <t>Contigency 30</t>
  </si>
  <si>
    <t>CON 31</t>
  </si>
  <si>
    <t>Contigency 31</t>
  </si>
  <si>
    <t>CON 32</t>
  </si>
  <si>
    <t>Contigency 32</t>
  </si>
  <si>
    <t>CON 33</t>
  </si>
  <si>
    <t>Contigency 33</t>
  </si>
  <si>
    <t>CON 34</t>
  </si>
  <si>
    <t>Contigency 34</t>
  </si>
  <si>
    <t>CON 35</t>
  </si>
  <si>
    <t>Contigency 35</t>
  </si>
  <si>
    <t>CON 36</t>
  </si>
  <si>
    <t>Contigency 36</t>
  </si>
  <si>
    <t>CON 37</t>
  </si>
  <si>
    <t>Contigency 37</t>
  </si>
  <si>
    <t>CON 38</t>
  </si>
  <si>
    <t>Contigency 38</t>
  </si>
  <si>
    <t>CON 39</t>
  </si>
  <si>
    <t>Contigency 39</t>
  </si>
  <si>
    <t>CON 40</t>
  </si>
  <si>
    <t>Contigency 40</t>
  </si>
  <si>
    <t>CON 41</t>
  </si>
  <si>
    <t>Contigency 41</t>
  </si>
  <si>
    <t>CON 42</t>
  </si>
  <si>
    <t>Contigency 42</t>
  </si>
  <si>
    <t>CON 43</t>
  </si>
  <si>
    <t>Contigency 43</t>
  </si>
  <si>
    <t>CON 44</t>
  </si>
  <si>
    <t>Contigency 44</t>
  </si>
  <si>
    <t>CON 45</t>
  </si>
  <si>
    <t>Contigency 45</t>
  </si>
  <si>
    <t>CON 46</t>
  </si>
  <si>
    <t>Contigency 46</t>
  </si>
  <si>
    <t>CON 47</t>
  </si>
  <si>
    <t>Contigency 47</t>
  </si>
  <si>
    <t>CON 48</t>
  </si>
  <si>
    <t>Contigency 48</t>
  </si>
  <si>
    <t>CON 49</t>
  </si>
  <si>
    <t>Contigency 49</t>
  </si>
  <si>
    <t>CON 50</t>
  </si>
  <si>
    <t>Contigency 50</t>
  </si>
  <si>
    <t>CON 51</t>
  </si>
  <si>
    <t>Contigency 51</t>
  </si>
  <si>
    <t>CON 52</t>
  </si>
  <si>
    <t>Contigency 52</t>
  </si>
  <si>
    <t>CON 53</t>
  </si>
  <si>
    <t>Contigency 53</t>
  </si>
  <si>
    <t>CON 54</t>
  </si>
  <si>
    <t>Contigency 54</t>
  </si>
  <si>
    <t>CON 55</t>
  </si>
  <si>
    <t>Contigency 55</t>
  </si>
  <si>
    <t>CON 56</t>
  </si>
  <si>
    <t>Contigency 56</t>
  </si>
  <si>
    <t>CON 57</t>
  </si>
  <si>
    <t>Contigency 57</t>
  </si>
  <si>
    <t>CON 58</t>
  </si>
  <si>
    <t>Contigency 58</t>
  </si>
  <si>
    <t>CON 59</t>
  </si>
  <si>
    <t>Contigency 59</t>
  </si>
  <si>
    <t>CON 60</t>
  </si>
  <si>
    <t>Contigency 60</t>
  </si>
  <si>
    <t>CON 61</t>
  </si>
  <si>
    <t>Contigency 61</t>
  </si>
  <si>
    <t>CON 62</t>
  </si>
  <si>
    <t>Contigency 62</t>
  </si>
  <si>
    <t>CON 63</t>
  </si>
  <si>
    <t>Contigency 63</t>
  </si>
  <si>
    <t>CON 64</t>
  </si>
  <si>
    <t>Contigency 64</t>
  </si>
  <si>
    <t>CON 65</t>
  </si>
  <si>
    <t>Contigency 65</t>
  </si>
  <si>
    <t>CON 66</t>
  </si>
  <si>
    <t>Contigency 66</t>
  </si>
  <si>
    <t>CON 67</t>
  </si>
  <si>
    <t>Contigency 67</t>
  </si>
  <si>
    <t>CON 68</t>
  </si>
  <si>
    <t>Contigency 68</t>
  </si>
  <si>
    <t>CON 69</t>
  </si>
  <si>
    <t>Contigency 69</t>
  </si>
  <si>
    <t>CON 70</t>
  </si>
  <si>
    <t>Contigency 70</t>
  </si>
  <si>
    <t>CON 71</t>
  </si>
  <si>
    <t>Contigency 71</t>
  </si>
  <si>
    <t>CON 72</t>
  </si>
  <si>
    <t>Contigency 72</t>
  </si>
  <si>
    <t>CON 73</t>
  </si>
  <si>
    <t>Contigency 73</t>
  </si>
  <si>
    <t>CON 74</t>
  </si>
  <si>
    <t>Contigency 74</t>
  </si>
  <si>
    <t>CON 75</t>
  </si>
  <si>
    <t>Contigency 75</t>
  </si>
  <si>
    <t>CON 76</t>
  </si>
  <si>
    <t>Contigency 76</t>
  </si>
  <si>
    <t>CON 77</t>
  </si>
  <si>
    <t>Contigency 77</t>
  </si>
  <si>
    <t>CON 78</t>
  </si>
  <si>
    <t>Contigency 78</t>
  </si>
  <si>
    <t>CON 79</t>
  </si>
  <si>
    <t>Contigency 79</t>
  </si>
  <si>
    <t>CON 80</t>
  </si>
  <si>
    <t>Contigency 80</t>
  </si>
  <si>
    <t>CON 81</t>
  </si>
  <si>
    <t>Contigency 81</t>
  </si>
  <si>
    <t>CON 82</t>
  </si>
  <si>
    <t>Contigency 82</t>
  </si>
  <si>
    <t>CON 83</t>
  </si>
  <si>
    <t>Contigency 83</t>
  </si>
  <si>
    <t>CON 84</t>
  </si>
  <si>
    <t>Contigency 84</t>
  </si>
  <si>
    <t>CON 85</t>
  </si>
  <si>
    <t>Contigency 85</t>
  </si>
  <si>
    <t>CON 86</t>
  </si>
  <si>
    <t>Contigency 86</t>
  </si>
  <si>
    <t>CON 87</t>
  </si>
  <si>
    <t>Contigency 87</t>
  </si>
  <si>
    <t>CON 88</t>
  </si>
  <si>
    <t>Contigency 88</t>
  </si>
  <si>
    <t>CON 89</t>
  </si>
  <si>
    <t>Contigency 89</t>
  </si>
  <si>
    <t>CON 90</t>
  </si>
  <si>
    <t>Contigency 90</t>
  </si>
  <si>
    <t>CON 91</t>
  </si>
  <si>
    <t>Contigency 91</t>
  </si>
  <si>
    <t>CON 92</t>
  </si>
  <si>
    <t>Contigency 92</t>
  </si>
  <si>
    <t>CON 93</t>
  </si>
  <si>
    <t>Contigency 93</t>
  </si>
  <si>
    <t>CON 94</t>
  </si>
  <si>
    <t>Contigency 94</t>
  </si>
  <si>
    <t>CON 95</t>
  </si>
  <si>
    <t>Contigency 95</t>
  </si>
  <si>
    <t>CON 96</t>
  </si>
  <si>
    <t>Contigency 96</t>
  </si>
  <si>
    <t>CON 97</t>
  </si>
  <si>
    <t>Contigency 97</t>
  </si>
  <si>
    <t>CON 98</t>
  </si>
  <si>
    <t>Contigency 98</t>
  </si>
  <si>
    <t>CON 99</t>
  </si>
  <si>
    <t>Contigency 99</t>
  </si>
  <si>
    <t>CON 100</t>
  </si>
  <si>
    <t>Contigency 100</t>
  </si>
  <si>
    <t>CON 101</t>
  </si>
  <si>
    <t>Contigency 101</t>
  </si>
  <si>
    <t>CON 102</t>
  </si>
  <si>
    <t>Contigency 102</t>
  </si>
  <si>
    <t>CON 103</t>
  </si>
  <si>
    <t>Contigency 103</t>
  </si>
  <si>
    <t>CON 104</t>
  </si>
  <si>
    <t>Contigency 104</t>
  </si>
  <si>
    <t>CON 105</t>
  </si>
  <si>
    <t>Contigency 105</t>
  </si>
  <si>
    <t>CON 106</t>
  </si>
  <si>
    <t>Contigency 106</t>
  </si>
  <si>
    <t>CON 107</t>
  </si>
  <si>
    <t>Contigency 107</t>
  </si>
  <si>
    <t>CON 108</t>
  </si>
  <si>
    <t>Contigency 108</t>
  </si>
  <si>
    <t>CON 109</t>
  </si>
  <si>
    <t>Contigency 109</t>
  </si>
  <si>
    <t>CON 110</t>
  </si>
  <si>
    <t>Contigency 110</t>
  </si>
  <si>
    <t>CON 111</t>
  </si>
  <si>
    <t>Contigency 111</t>
  </si>
  <si>
    <t>CON 112</t>
  </si>
  <si>
    <t>Contigency 112</t>
  </si>
  <si>
    <t>CON 113</t>
  </si>
  <si>
    <t>Contigency 113</t>
  </si>
  <si>
    <t>CON 114</t>
  </si>
  <si>
    <t>Contigency 114</t>
  </si>
  <si>
    <t>CON 115</t>
  </si>
  <si>
    <t>Contigency 115</t>
  </si>
  <si>
    <t>CON 116</t>
  </si>
  <si>
    <t>Contigency 116</t>
  </si>
  <si>
    <t>CON 117</t>
  </si>
  <si>
    <t>Contigency 117</t>
  </si>
  <si>
    <t>CON 118</t>
  </si>
  <si>
    <t>Contigency 118</t>
  </si>
  <si>
    <t>CON 119</t>
  </si>
  <si>
    <t>Contigency 119</t>
  </si>
  <si>
    <t>CON 120</t>
  </si>
  <si>
    <t>Contigency 120</t>
  </si>
  <si>
    <t>CON 121</t>
  </si>
  <si>
    <t>Contigency 121</t>
  </si>
  <si>
    <t>CON 122</t>
  </si>
  <si>
    <t>Contigency 122</t>
  </si>
  <si>
    <t>CON 123</t>
  </si>
  <si>
    <t>Contigency 123</t>
  </si>
  <si>
    <t>CON 124</t>
  </si>
  <si>
    <t>Contigency 124</t>
  </si>
  <si>
    <t>CON 125</t>
  </si>
  <si>
    <t>Contigency 125</t>
  </si>
  <si>
    <t>CON 126</t>
  </si>
  <si>
    <t>Contigency 126</t>
  </si>
  <si>
    <t>CON 127</t>
  </si>
  <si>
    <t>Contigency 127</t>
  </si>
  <si>
    <t>CON 128</t>
  </si>
  <si>
    <t>Contigency 128</t>
  </si>
  <si>
    <t>CON 129</t>
  </si>
  <si>
    <t>Contigency 129</t>
  </si>
  <si>
    <t>CON 130</t>
  </si>
  <si>
    <t>Contigency 130</t>
  </si>
  <si>
    <t>CON 131</t>
  </si>
  <si>
    <t>Contigency 131</t>
  </si>
  <si>
    <t>CON 132</t>
  </si>
  <si>
    <t>Contigency 132</t>
  </si>
  <si>
    <t>CON 133</t>
  </si>
  <si>
    <t>Contigency 133</t>
  </si>
  <si>
    <t>CON 134</t>
  </si>
  <si>
    <t>Contigency 134</t>
  </si>
  <si>
    <t>CON 135</t>
  </si>
  <si>
    <t>Contigency 135</t>
  </si>
  <si>
    <t>CON 136</t>
  </si>
  <si>
    <t>Contigency 136</t>
  </si>
  <si>
    <t>CON 137</t>
  </si>
  <si>
    <t>Contigency 137</t>
  </si>
  <si>
    <t>CON 138</t>
  </si>
  <si>
    <t>Contigency 138</t>
  </si>
  <si>
    <t>CON 139</t>
  </si>
  <si>
    <t>Contigency 139</t>
  </si>
  <si>
    <t>CON 140</t>
  </si>
  <si>
    <t>Contigency 140</t>
  </si>
  <si>
    <t>CON 141</t>
  </si>
  <si>
    <t>Contigency 141</t>
  </si>
  <si>
    <t>CON 142</t>
  </si>
  <si>
    <t>Contigency 142</t>
  </si>
  <si>
    <t>CON 143</t>
  </si>
  <si>
    <t>Contigency 143</t>
  </si>
  <si>
    <t>CON 144</t>
  </si>
  <si>
    <t>Contigency 144</t>
  </si>
  <si>
    <t>CON 145</t>
  </si>
  <si>
    <t>Contigency 145</t>
  </si>
  <si>
    <t>CON 146</t>
  </si>
  <si>
    <t>Contigency 146</t>
  </si>
  <si>
    <t>CON 147</t>
  </si>
  <si>
    <t>Contigency 147</t>
  </si>
  <si>
    <t>CON 148</t>
  </si>
  <si>
    <t>Contigency 148</t>
  </si>
  <si>
    <t>CON 149</t>
  </si>
  <si>
    <t>Contigency 149</t>
  </si>
  <si>
    <t>CON 150</t>
  </si>
  <si>
    <t>Contigency 150</t>
  </si>
  <si>
    <t>CON 151</t>
  </si>
  <si>
    <t>Contigency 151</t>
  </si>
  <si>
    <t>CON 152</t>
  </si>
  <si>
    <t>Contigency 152</t>
  </si>
  <si>
    <t>CON 153</t>
  </si>
  <si>
    <t>Contigency 153</t>
  </si>
  <si>
    <t>CON 154</t>
  </si>
  <si>
    <t>Contigency 154</t>
  </si>
  <si>
    <t>CON 155</t>
  </si>
  <si>
    <t>Contigency 155</t>
  </si>
  <si>
    <t>CON 156</t>
  </si>
  <si>
    <t>Contigency 156</t>
  </si>
  <si>
    <t>CON 157</t>
  </si>
  <si>
    <t>Contigency 157</t>
  </si>
  <si>
    <t>CON 158</t>
  </si>
  <si>
    <t>Contigency 158</t>
  </si>
  <si>
    <t>CON 159</t>
  </si>
  <si>
    <t>Contigency 159</t>
  </si>
  <si>
    <t>CON 160</t>
  </si>
  <si>
    <t>Contigency 160</t>
  </si>
  <si>
    <t>CON 161</t>
  </si>
  <si>
    <t>Contigency 161</t>
  </si>
  <si>
    <t>CON 162</t>
  </si>
  <si>
    <t>Contigency 162</t>
  </si>
  <si>
    <t>CON 163</t>
  </si>
  <si>
    <t>Contigency 163</t>
  </si>
  <si>
    <t>CON 164</t>
  </si>
  <si>
    <t>Contigency 164</t>
  </si>
  <si>
    <t>CON 165</t>
  </si>
  <si>
    <t>Contigency 165</t>
  </si>
  <si>
    <t>CON 166</t>
  </si>
  <si>
    <t>Contigency 166</t>
  </si>
  <si>
    <t>CON 167</t>
  </si>
  <si>
    <t>Contigency 167</t>
  </si>
  <si>
    <t>CON 168</t>
  </si>
  <si>
    <t>Contigency 168</t>
  </si>
  <si>
    <t>CON 169</t>
  </si>
  <si>
    <t>Contigency 169</t>
  </si>
  <si>
    <t>CON 170</t>
  </si>
  <si>
    <t>Contigency 170</t>
  </si>
  <si>
    <t>CON 171</t>
  </si>
  <si>
    <t>Contigency 171</t>
  </si>
  <si>
    <t>CON 172</t>
  </si>
  <si>
    <t>Contigency 172</t>
  </si>
  <si>
    <t>CON 173</t>
  </si>
  <si>
    <t>Contigency 173</t>
  </si>
  <si>
    <t>CON 174</t>
  </si>
  <si>
    <t>Contigency 174</t>
  </si>
  <si>
    <t>CON 175</t>
  </si>
  <si>
    <t>Contigency 175</t>
  </si>
  <si>
    <t>CON 176</t>
  </si>
  <si>
    <t>Contigency 176</t>
  </si>
  <si>
    <t>CON 177</t>
  </si>
  <si>
    <t>Contigency 177</t>
  </si>
  <si>
    <t>CON 178</t>
  </si>
  <si>
    <t>Contigency 178</t>
  </si>
  <si>
    <t>CON 179</t>
  </si>
  <si>
    <t>Contigency 179</t>
  </si>
  <si>
    <t>CON 180</t>
  </si>
  <si>
    <t>Contigency 180</t>
  </si>
  <si>
    <t>CON 181</t>
  </si>
  <si>
    <t>Contigency 181</t>
  </si>
  <si>
    <t>CON 182</t>
  </si>
  <si>
    <t>Contigency 182</t>
  </si>
  <si>
    <t>CON 183</t>
  </si>
  <si>
    <t>Contigency 183</t>
  </si>
  <si>
    <t>CON 184</t>
  </si>
  <si>
    <t>Contigency 184</t>
  </si>
  <si>
    <t>CON 185</t>
  </si>
  <si>
    <t>Contigency 185</t>
  </si>
  <si>
    <t>CON 186</t>
  </si>
  <si>
    <t>Contigency 186</t>
  </si>
  <si>
    <t>CON 187</t>
  </si>
  <si>
    <t>Contigency 187</t>
  </si>
  <si>
    <t>CON 188</t>
  </si>
  <si>
    <t>Contigency 188</t>
  </si>
  <si>
    <t>CON 189</t>
  </si>
  <si>
    <t>Contigency 189</t>
  </si>
  <si>
    <t>CON 190</t>
  </si>
  <si>
    <t>Contigency 190</t>
  </si>
  <si>
    <t>CON 191</t>
  </si>
  <si>
    <t>Contigency 191</t>
  </si>
  <si>
    <t>CON 192</t>
  </si>
  <si>
    <t>Contigency 192</t>
  </si>
  <si>
    <t>CON 193</t>
  </si>
  <si>
    <t>Contigency 193</t>
  </si>
  <si>
    <t>CON 194</t>
  </si>
  <si>
    <t>Contigency 194</t>
  </si>
  <si>
    <t>CON 195</t>
  </si>
  <si>
    <t>Contigency 195</t>
  </si>
  <si>
    <t>CON 196</t>
  </si>
  <si>
    <t>Contigency 196</t>
  </si>
  <si>
    <t>CON 197</t>
  </si>
  <si>
    <t>Contigency 197</t>
  </si>
  <si>
    <t>CON 198</t>
  </si>
  <si>
    <t>Contigency 198</t>
  </si>
  <si>
    <t>CON 199</t>
  </si>
  <si>
    <t>Contigency 199</t>
  </si>
  <si>
    <t>CON 200</t>
  </si>
  <si>
    <t>Contigency 200</t>
  </si>
  <si>
    <t>CON 201</t>
  </si>
  <si>
    <t>Contigency 201</t>
  </si>
  <si>
    <t>CON 202</t>
  </si>
  <si>
    <t>Contigency 202</t>
  </si>
  <si>
    <t>CON 203</t>
  </si>
  <si>
    <t>Contigency 203</t>
  </si>
  <si>
    <t>CON 204</t>
  </si>
  <si>
    <t>Contigency 204</t>
  </si>
  <si>
    <t>CON 205</t>
  </si>
  <si>
    <t>Contigency 205</t>
  </si>
  <si>
    <t>CON 206</t>
  </si>
  <si>
    <t>Contigency 206</t>
  </si>
  <si>
    <t>CON 207</t>
  </si>
  <si>
    <t>Contigency 207</t>
  </si>
  <si>
    <t>CON 208</t>
  </si>
  <si>
    <t>Contigency 208</t>
  </si>
  <si>
    <t>CON 209</t>
  </si>
  <si>
    <t>Contigency 209</t>
  </si>
  <si>
    <t>CON 210</t>
  </si>
  <si>
    <t>Contigency 210</t>
  </si>
  <si>
    <t>CON 211</t>
  </si>
  <si>
    <t>Contigency 211</t>
  </si>
  <si>
    <t>CON 212</t>
  </si>
  <si>
    <t>Contigency 212</t>
  </si>
  <si>
    <t>CON 213</t>
  </si>
  <si>
    <t>Contigency 213</t>
  </si>
  <si>
    <t>CON 214</t>
  </si>
  <si>
    <t>Contigency 214</t>
  </si>
  <si>
    <t>CON 215</t>
  </si>
  <si>
    <t>Contigency 215</t>
  </si>
  <si>
    <t>CON 216</t>
  </si>
  <si>
    <t>Contigency 216</t>
  </si>
  <si>
    <t>CON 217</t>
  </si>
  <si>
    <t>Contigency 217</t>
  </si>
  <si>
    <t>CON 218</t>
  </si>
  <si>
    <t>Contigency 218</t>
  </si>
  <si>
    <t>CON 219</t>
  </si>
  <si>
    <t>Contigency 219</t>
  </si>
  <si>
    <t>CON 220</t>
  </si>
  <si>
    <t>Contigency 220</t>
  </si>
  <si>
    <t>CON 221</t>
  </si>
  <si>
    <t>Contigency 221</t>
  </si>
  <si>
    <t>CON 222</t>
  </si>
  <si>
    <t>Contigency 222</t>
  </si>
  <si>
    <t>CON 223</t>
  </si>
  <si>
    <t>Contigency 223</t>
  </si>
  <si>
    <t>CON 224</t>
  </si>
  <si>
    <t>Contigency 224</t>
  </si>
  <si>
    <t>CON 225</t>
  </si>
  <si>
    <t>Contigency 225</t>
  </si>
  <si>
    <t>CON 226</t>
  </si>
  <si>
    <t>Contigency 226</t>
  </si>
  <si>
    <t>CON 227</t>
  </si>
  <si>
    <t>Contigency 227</t>
  </si>
  <si>
    <t>CON 228</t>
  </si>
  <si>
    <t>Contigency 228</t>
  </si>
  <si>
    <t>CON 229</t>
  </si>
  <si>
    <t>Contigency 229</t>
  </si>
  <si>
    <t>CON 230</t>
  </si>
  <si>
    <t>Contigency 230</t>
  </si>
  <si>
    <t>CON 231</t>
  </si>
  <si>
    <t>Contigency 231</t>
  </si>
  <si>
    <t>CON 232</t>
  </si>
  <si>
    <t>Contigency 232</t>
  </si>
  <si>
    <t>CON 233</t>
  </si>
  <si>
    <t>Contigency 233</t>
  </si>
  <si>
    <t>CON 234</t>
  </si>
  <si>
    <t>Contigency 234</t>
  </si>
  <si>
    <t>CON 235</t>
  </si>
  <si>
    <t>Contigency 235</t>
  </si>
  <si>
    <t>CON 236</t>
  </si>
  <si>
    <t>Contigency 236</t>
  </si>
  <si>
    <t>CON 237</t>
  </si>
  <si>
    <t>Contigency 237</t>
  </si>
  <si>
    <t>CON 238</t>
  </si>
  <si>
    <t>Contigency 238</t>
  </si>
  <si>
    <t>CON 239</t>
  </si>
  <si>
    <t>Contigency 239</t>
  </si>
  <si>
    <t>CON 240</t>
  </si>
  <si>
    <t>Contigency 240</t>
  </si>
  <si>
    <t>CON 241</t>
  </si>
  <si>
    <t>Contigency 241</t>
  </si>
  <si>
    <t>CON 242</t>
  </si>
  <si>
    <t>Contigency 242</t>
  </si>
  <si>
    <t>CON 243</t>
  </si>
  <si>
    <t>Contigency 243</t>
  </si>
  <si>
    <t>CON 244</t>
  </si>
  <si>
    <t>Contigency 244</t>
  </si>
  <si>
    <t>CON 245</t>
  </si>
  <si>
    <t>Contigency 245</t>
  </si>
  <si>
    <t>CON 246</t>
  </si>
  <si>
    <t>Contigency 246</t>
  </si>
  <si>
    <t>CON 247</t>
  </si>
  <si>
    <t>Contigency 247</t>
  </si>
  <si>
    <t>CON 248</t>
  </si>
  <si>
    <t>Contigency 248</t>
  </si>
  <si>
    <t>CON 249</t>
  </si>
  <si>
    <t>Contigency 249</t>
  </si>
  <si>
    <t>CON 250</t>
  </si>
  <si>
    <t>Contigency 250</t>
  </si>
  <si>
    <t>CON 251</t>
  </si>
  <si>
    <t>Contigency 251</t>
  </si>
  <si>
    <t>CON 252</t>
  </si>
  <si>
    <t>Contigency 252</t>
  </si>
  <si>
    <t>CON 253</t>
  </si>
  <si>
    <t>Contigency 253</t>
  </si>
  <si>
    <t>CON 254</t>
  </si>
  <si>
    <t>Contigency 254</t>
  </si>
  <si>
    <t>CON 255</t>
  </si>
  <si>
    <t>Contigency 255</t>
  </si>
  <si>
    <t>CON 256</t>
  </si>
  <si>
    <t>Contigency 256</t>
  </si>
  <si>
    <t>CON 257</t>
  </si>
  <si>
    <t>Contigency 257</t>
  </si>
  <si>
    <t>CON 258</t>
  </si>
  <si>
    <t>Contigency 258</t>
  </si>
  <si>
    <t>CON 259</t>
  </si>
  <si>
    <t>Contigency 259</t>
  </si>
  <si>
    <t>CON 260</t>
  </si>
  <si>
    <t>Contigency 260</t>
  </si>
  <si>
    <t>CON 261</t>
  </si>
  <si>
    <t>Contigency 261</t>
  </si>
  <si>
    <t>CON 262</t>
  </si>
  <si>
    <t>Contigency 262</t>
  </si>
  <si>
    <t>CON 263</t>
  </si>
  <si>
    <t>Contigency 263</t>
  </si>
  <si>
    <t>CON 264</t>
  </si>
  <si>
    <t>Contigency 264</t>
  </si>
  <si>
    <t>CON 265</t>
  </si>
  <si>
    <t>Contigency 265</t>
  </si>
  <si>
    <t>CON 266</t>
  </si>
  <si>
    <t>Contigency 266</t>
  </si>
  <si>
    <t>CON 267</t>
  </si>
  <si>
    <t>Contigency 267</t>
  </si>
  <si>
    <t>CON 268</t>
  </si>
  <si>
    <t>Contigency 268</t>
  </si>
  <si>
    <t>CON 269</t>
  </si>
  <si>
    <t>Contigency 269</t>
  </si>
  <si>
    <t>CON 270</t>
  </si>
  <si>
    <t>Contigency 270</t>
  </si>
  <si>
    <t>CON 271</t>
  </si>
  <si>
    <t>Contigency 271</t>
  </si>
  <si>
    <t>CON 272</t>
  </si>
  <si>
    <t>Contigency 272</t>
  </si>
  <si>
    <t>CON 273</t>
  </si>
  <si>
    <t>Contigency 273</t>
  </si>
  <si>
    <t>CON 274</t>
  </si>
  <si>
    <t>Contigency 274</t>
  </si>
  <si>
    <t>CON 275</t>
  </si>
  <si>
    <t>Contigency 275</t>
  </si>
  <si>
    <t>CON 276</t>
  </si>
  <si>
    <t>Contigency 276</t>
  </si>
  <si>
    <t>CON 277</t>
  </si>
  <si>
    <t>Contigency 277</t>
  </si>
  <si>
    <t>CON 278</t>
  </si>
  <si>
    <t>Contigency 278</t>
  </si>
  <si>
    <t>CON 279</t>
  </si>
  <si>
    <t>Contigency 279</t>
  </si>
  <si>
    <t>CON 280</t>
  </si>
  <si>
    <t>Contigency 280</t>
  </si>
  <si>
    <t>CON 281</t>
  </si>
  <si>
    <t>Contigency 281</t>
  </si>
  <si>
    <t>CON 282</t>
  </si>
  <si>
    <t>Contigency 282</t>
  </si>
  <si>
    <t>CON 283</t>
  </si>
  <si>
    <t>Contigency 283</t>
  </si>
  <si>
    <t>CON 284</t>
  </si>
  <si>
    <t>Contigency 284</t>
  </si>
  <si>
    <t>CON 285</t>
  </si>
  <si>
    <t>Contigency 285</t>
  </si>
  <si>
    <t>CON 286</t>
  </si>
  <si>
    <t>Contigency 286</t>
  </si>
  <si>
    <t>CON 287</t>
  </si>
  <si>
    <t>Contigency 287</t>
  </si>
  <si>
    <t>CON 288</t>
  </si>
  <si>
    <t>Contigency 288</t>
  </si>
  <si>
    <t>CON 289</t>
  </si>
  <si>
    <t>Contigency 289</t>
  </si>
  <si>
    <t>CON 290</t>
  </si>
  <si>
    <t>Contigency 290</t>
  </si>
  <si>
    <t>CON 291</t>
  </si>
  <si>
    <t>Contigency 291</t>
  </si>
  <si>
    <t>CON 292</t>
  </si>
  <si>
    <t>Contigency 292</t>
  </si>
  <si>
    <t>CON 293</t>
  </si>
  <si>
    <t>Contigency 293</t>
  </si>
  <si>
    <t>CON 294</t>
  </si>
  <si>
    <t>Contigency 294</t>
  </si>
  <si>
    <t>CON 295</t>
  </si>
  <si>
    <t>Contigency 295</t>
  </si>
  <si>
    <t>CON 296</t>
  </si>
  <si>
    <t>Contigency 296</t>
  </si>
  <si>
    <t>CON 297</t>
  </si>
  <si>
    <t>Contigency 297</t>
  </si>
  <si>
    <t>CON 298</t>
  </si>
  <si>
    <t>Contigency 298</t>
  </si>
  <si>
    <t>CON 299</t>
  </si>
  <si>
    <t>Contigency 299</t>
  </si>
  <si>
    <t>CON 300</t>
  </si>
  <si>
    <t>Contigency 300</t>
  </si>
  <si>
    <t>CON 301</t>
  </si>
  <si>
    <t>Contigency 301</t>
  </si>
  <si>
    <t>CON 302</t>
  </si>
  <si>
    <t>Contigency 302</t>
  </si>
  <si>
    <t>CON 303</t>
  </si>
  <si>
    <t>Contigency 303</t>
  </si>
  <si>
    <t>CON 304</t>
  </si>
  <si>
    <t>Contigency 304</t>
  </si>
  <si>
    <t>CON 305</t>
  </si>
  <si>
    <t>Contigency 305</t>
  </si>
  <si>
    <t>CON 306</t>
  </si>
  <si>
    <t>Contigency 306</t>
  </si>
  <si>
    <t>CON 307</t>
  </si>
  <si>
    <t>Contigency 307</t>
  </si>
  <si>
    <t>CON 308</t>
  </si>
  <si>
    <t>Contigency 308</t>
  </si>
  <si>
    <t>CON 309</t>
  </si>
  <si>
    <t>Contigency 309</t>
  </si>
  <si>
    <t>CON 310</t>
  </si>
  <si>
    <t>Contigency 310</t>
  </si>
  <si>
    <t>CON 311</t>
  </si>
  <si>
    <t>Contigency 311</t>
  </si>
  <si>
    <t>CON 312</t>
  </si>
  <si>
    <t>Contigency 312</t>
  </si>
  <si>
    <t>CON 313</t>
  </si>
  <si>
    <t>Contigency 313</t>
  </si>
  <si>
    <t>CON 314</t>
  </si>
  <si>
    <t>Contigency 314</t>
  </si>
  <si>
    <t>CON 315</t>
  </si>
  <si>
    <t>Contigency 315</t>
  </si>
  <si>
    <t>CON 316</t>
  </si>
  <si>
    <t>Contigency 316</t>
  </si>
  <si>
    <t>CON 317</t>
  </si>
  <si>
    <t>Contigency 317</t>
  </si>
  <si>
    <t>CON 318</t>
  </si>
  <si>
    <t>Contigency 318</t>
  </si>
  <si>
    <t>CON 319</t>
  </si>
  <si>
    <t>Contigency 319</t>
  </si>
  <si>
    <t>CON 320</t>
  </si>
  <si>
    <t>Contigency 320</t>
  </si>
  <si>
    <t>CON 321</t>
  </si>
  <si>
    <t>Contigency 321</t>
  </si>
  <si>
    <t>CON 322</t>
  </si>
  <si>
    <t>Contigency 322</t>
  </si>
  <si>
    <t>CON 323</t>
  </si>
  <si>
    <t>Contigency 323</t>
  </si>
  <si>
    <t>CON 324</t>
  </si>
  <si>
    <t>Contigency 324</t>
  </si>
  <si>
    <t>CON 325</t>
  </si>
  <si>
    <t>Contigency 325</t>
  </si>
  <si>
    <t>CON 326</t>
  </si>
  <si>
    <t>Contigency 326</t>
  </si>
  <si>
    <t>CON 327</t>
  </si>
  <si>
    <t>Contigency 327</t>
  </si>
  <si>
    <t>CON 328</t>
  </si>
  <si>
    <t>Contigency 328</t>
  </si>
  <si>
    <t>CON 329</t>
  </si>
  <si>
    <t>Contigency 329</t>
  </si>
  <si>
    <t>CON 330</t>
  </si>
  <si>
    <t>Contigency 330</t>
  </si>
  <si>
    <t>CON 331</t>
  </si>
  <si>
    <t>Contigency 331</t>
  </si>
  <si>
    <t>CON 332</t>
  </si>
  <si>
    <t>Contigency 332</t>
  </si>
  <si>
    <t>CON 333</t>
  </si>
  <si>
    <t>Contigency 333</t>
  </si>
  <si>
    <t>CON 334</t>
  </si>
  <si>
    <t>Contigency 334</t>
  </si>
  <si>
    <t>CON 335</t>
  </si>
  <si>
    <t>Contigency 335</t>
  </si>
  <si>
    <t>CON 336</t>
  </si>
  <si>
    <t>Contigency 336</t>
  </si>
  <si>
    <t>CON 337</t>
  </si>
  <si>
    <t>Contigency 337</t>
  </si>
  <si>
    <t>CON 338</t>
  </si>
  <si>
    <t>Contigency 338</t>
  </si>
  <si>
    <t>CON 339</t>
  </si>
  <si>
    <t>Contigency 339</t>
  </si>
  <si>
    <t>CON 340</t>
  </si>
  <si>
    <t>Contigency 340</t>
  </si>
  <si>
    <t>CON 341</t>
  </si>
  <si>
    <t>Contigency 341</t>
  </si>
  <si>
    <t>CON 342</t>
  </si>
  <si>
    <t>Contigency 342</t>
  </si>
  <si>
    <t>CON 343</t>
  </si>
  <si>
    <t>Contigency 343</t>
  </si>
  <si>
    <t>CON 344</t>
  </si>
  <si>
    <t>Contigency 344</t>
  </si>
  <si>
    <t>CON 345</t>
  </si>
  <si>
    <t>Contigency 345</t>
  </si>
  <si>
    <t>CON 346</t>
  </si>
  <si>
    <t>Contigency 346</t>
  </si>
  <si>
    <t>CON 347</t>
  </si>
  <si>
    <t>Contigency 347</t>
  </si>
  <si>
    <t>CON 348</t>
  </si>
  <si>
    <t>Contigency 348</t>
  </si>
  <si>
    <t>CON 349</t>
  </si>
  <si>
    <t>Contigency 349</t>
  </si>
  <si>
    <t>CON 350</t>
  </si>
  <si>
    <t>Contigency 350</t>
  </si>
  <si>
    <t>CON 351</t>
  </si>
  <si>
    <t>Contigency 351</t>
  </si>
  <si>
    <t>CON 352</t>
  </si>
  <si>
    <t>Contigency 352</t>
  </si>
  <si>
    <t>CON 353</t>
  </si>
  <si>
    <t>Contigency 353</t>
  </si>
  <si>
    <t>CON 354</t>
  </si>
  <si>
    <t>Contigency 354</t>
  </si>
  <si>
    <t>CON 355</t>
  </si>
  <si>
    <t>Contigency 355</t>
  </si>
  <si>
    <t>CON 356</t>
  </si>
  <si>
    <t>Contigency 356</t>
  </si>
  <si>
    <t>CON 357</t>
  </si>
  <si>
    <t>Contigency 357</t>
  </si>
  <si>
    <t>CON 358</t>
  </si>
  <si>
    <t>Contigency 358</t>
  </si>
  <si>
    <t>CON 359</t>
  </si>
  <si>
    <t>Contigency 359</t>
  </si>
  <si>
    <t>CON 360</t>
  </si>
  <si>
    <t>Contigency 360</t>
  </si>
  <si>
    <t>CON 361</t>
  </si>
  <si>
    <t>Contigency 361</t>
  </si>
  <si>
    <t>CON 362</t>
  </si>
  <si>
    <t>Contigency 362</t>
  </si>
  <si>
    <t>CON 363</t>
  </si>
  <si>
    <t>Contigency 363</t>
  </si>
  <si>
    <t>CON 364</t>
  </si>
  <si>
    <t>Contigency 364</t>
  </si>
  <si>
    <t>CON 365</t>
  </si>
  <si>
    <t>Contigency 365</t>
  </si>
  <si>
    <t>CON 366</t>
  </si>
  <si>
    <t>Contigency 366</t>
  </si>
  <si>
    <t>CON 367</t>
  </si>
  <si>
    <t>Contigency 367</t>
  </si>
  <si>
    <t>CON 368</t>
  </si>
  <si>
    <t>Contigency 368</t>
  </si>
  <si>
    <t>CON 369</t>
  </si>
  <si>
    <t>Contigency 369</t>
  </si>
  <si>
    <t>CON 370</t>
  </si>
  <si>
    <t>Contigency 370</t>
  </si>
  <si>
    <t>CON 371</t>
  </si>
  <si>
    <t>Contigency 371</t>
  </si>
  <si>
    <t>CON 372</t>
  </si>
  <si>
    <t>Contigency 372</t>
  </si>
  <si>
    <t>CON 373</t>
  </si>
  <si>
    <t>Contigency 373</t>
  </si>
  <si>
    <t>CON 374</t>
  </si>
  <si>
    <t>Contigency 374</t>
  </si>
  <si>
    <t>CON 375</t>
  </si>
  <si>
    <t>Contigency 375</t>
  </si>
  <si>
    <t>CON 376</t>
  </si>
  <si>
    <t>Contigency 376</t>
  </si>
  <si>
    <t>CON 377</t>
  </si>
  <si>
    <t>Contigency 377</t>
  </si>
  <si>
    <t>CON 378</t>
  </si>
  <si>
    <t>Contigency 378</t>
  </si>
  <si>
    <t>CON 379</t>
  </si>
  <si>
    <t>Contigency 379</t>
  </si>
  <si>
    <t>CON 380</t>
  </si>
  <si>
    <t>Contigency 380</t>
  </si>
  <si>
    <t>CON 381</t>
  </si>
  <si>
    <t>Contigency 381</t>
  </si>
  <si>
    <t>CON 382</t>
  </si>
  <si>
    <t>Contigency 382</t>
  </si>
  <si>
    <t>CON 383</t>
  </si>
  <si>
    <t>Contigency 383</t>
  </si>
  <si>
    <t>CON 384</t>
  </si>
  <si>
    <t>Contigency 384</t>
  </si>
  <si>
    <t>CON 385</t>
  </si>
  <si>
    <t>Contigency 385</t>
  </si>
  <si>
    <t>CON 386</t>
  </si>
  <si>
    <t>Contigency 386</t>
  </si>
  <si>
    <t>CON 387</t>
  </si>
  <si>
    <t>Contigency 387</t>
  </si>
  <si>
    <t>CON 388</t>
  </si>
  <si>
    <t>Contigency 388</t>
  </si>
  <si>
    <t>CON 389</t>
  </si>
  <si>
    <t>Contigency 389</t>
  </si>
  <si>
    <t>CON 390</t>
  </si>
  <si>
    <t>Contigency 390</t>
  </si>
  <si>
    <t>CON 391</t>
  </si>
  <si>
    <t>Contigency 391</t>
  </si>
  <si>
    <t>CON 392</t>
  </si>
  <si>
    <t>Contigency 392</t>
  </si>
  <si>
    <t>CON 393</t>
  </si>
  <si>
    <t>Contigency 393</t>
  </si>
  <si>
    <t>CON 394</t>
  </si>
  <si>
    <t>Contigency 394</t>
  </si>
  <si>
    <t>CON 395</t>
  </si>
  <si>
    <t>Contigency 395</t>
  </si>
  <si>
    <t>CON 396</t>
  </si>
  <si>
    <t>Contigency 396</t>
  </si>
  <si>
    <t>CON 397</t>
  </si>
  <si>
    <t>Contigency 397</t>
  </si>
  <si>
    <t>CON 398</t>
  </si>
  <si>
    <t>Contigency 398</t>
  </si>
  <si>
    <t>CON 399</t>
  </si>
  <si>
    <t>Contigency 399</t>
  </si>
  <si>
    <t>CON 400</t>
  </si>
  <si>
    <t>Contigency 400</t>
  </si>
  <si>
    <t>CON 401</t>
  </si>
  <si>
    <t>Contigency 401</t>
  </si>
  <si>
    <t>CON 402</t>
  </si>
  <si>
    <t>Contigency 402</t>
  </si>
  <si>
    <t>CON 403</t>
  </si>
  <si>
    <t>Contigency 403</t>
  </si>
  <si>
    <t>CON 404</t>
  </si>
  <si>
    <t>Contigency 404</t>
  </si>
  <si>
    <t>CON 405</t>
  </si>
  <si>
    <t>Contigency 405</t>
  </si>
  <si>
    <t>CON 406</t>
  </si>
  <si>
    <t>Contigency 406</t>
  </si>
  <si>
    <t>CON 407</t>
  </si>
  <si>
    <t>Contigency 407</t>
  </si>
  <si>
    <t>CON 408</t>
  </si>
  <si>
    <t>Contigency 408</t>
  </si>
  <si>
    <t>CON 409</t>
  </si>
  <si>
    <t>Contigency 409</t>
  </si>
  <si>
    <t>CON 410</t>
  </si>
  <si>
    <t>Contigency 410</t>
  </si>
  <si>
    <t>CON 411</t>
  </si>
  <si>
    <t>Contigency 411</t>
  </si>
  <si>
    <t>CON 412</t>
  </si>
  <si>
    <t>Contigency 412</t>
  </si>
  <si>
    <t>CON 413</t>
  </si>
  <si>
    <t>Contigency 413</t>
  </si>
  <si>
    <t>CON 414</t>
  </si>
  <si>
    <t>Contigency 414</t>
  </si>
  <si>
    <t>CON 415</t>
  </si>
  <si>
    <t>Contigency 415</t>
  </si>
  <si>
    <t>CON 416</t>
  </si>
  <si>
    <t>Contigency 416</t>
  </si>
  <si>
    <t>CON 417</t>
  </si>
  <si>
    <t>Contigency 417</t>
  </si>
  <si>
    <t>CON 418</t>
  </si>
  <si>
    <t>Contigency 418</t>
  </si>
  <si>
    <t>CON 419</t>
  </si>
  <si>
    <t>Contigency 419</t>
  </si>
  <si>
    <t>CON 420</t>
  </si>
  <si>
    <t>Contigency 420</t>
  </si>
  <si>
    <t>CON 421</t>
  </si>
  <si>
    <t>Contigency 421</t>
  </si>
  <si>
    <t>CON 422</t>
  </si>
  <si>
    <t>Contigency 422</t>
  </si>
  <si>
    <t>CON 423</t>
  </si>
  <si>
    <t>Contigency 423</t>
  </si>
  <si>
    <t>CON 424</t>
  </si>
  <si>
    <t>Contigency 424</t>
  </si>
  <si>
    <t>CON 425</t>
  </si>
  <si>
    <t>Contigency 425</t>
  </si>
  <si>
    <t>CON 426</t>
  </si>
  <si>
    <t>Contigency 426</t>
  </si>
  <si>
    <t>CON 427</t>
  </si>
  <si>
    <t>Contigency 427</t>
  </si>
  <si>
    <t>CON 428</t>
  </si>
  <si>
    <t>Contigency 428</t>
  </si>
  <si>
    <t>CON 429</t>
  </si>
  <si>
    <t>Contigency 429</t>
  </si>
  <si>
    <t>CON 430</t>
  </si>
  <si>
    <t>Contigency 430</t>
  </si>
  <si>
    <t>CON 431</t>
  </si>
  <si>
    <t>Contigency 431</t>
  </si>
  <si>
    <t>CON 432</t>
  </si>
  <si>
    <t>Contigency 432</t>
  </si>
  <si>
    <t>CON 433</t>
  </si>
  <si>
    <t>Contigency 433</t>
  </si>
  <si>
    <t>CON 434</t>
  </si>
  <si>
    <t>Contigency 434</t>
  </si>
  <si>
    <t>CON 435</t>
  </si>
  <si>
    <t>Contigency 435</t>
  </si>
  <si>
    <t>CON 436</t>
  </si>
  <si>
    <t>Contigency 436</t>
  </si>
  <si>
    <t>CON 437</t>
  </si>
  <si>
    <t>Contigency 437</t>
  </si>
  <si>
    <t>CON 438</t>
  </si>
  <si>
    <t>Contigency 438</t>
  </si>
  <si>
    <t>CON 439</t>
  </si>
  <si>
    <t>Contigency 439</t>
  </si>
  <si>
    <t>CON 440</t>
  </si>
  <si>
    <t>Contigency 440</t>
  </si>
  <si>
    <t>CON 441</t>
  </si>
  <si>
    <t>Contigency 441</t>
  </si>
  <si>
    <t>CON 442</t>
  </si>
  <si>
    <t>Contigency 442</t>
  </si>
  <si>
    <t>CON 443</t>
  </si>
  <si>
    <t>Contigency 443</t>
  </si>
  <si>
    <t>CON 444</t>
  </si>
  <si>
    <t>Contigency 444</t>
  </si>
  <si>
    <t>CON 445</t>
  </si>
  <si>
    <t>Contigency 445</t>
  </si>
  <si>
    <t>CON 446</t>
  </si>
  <si>
    <t>Contigency 446</t>
  </si>
  <si>
    <t>CON 447</t>
  </si>
  <si>
    <t>Contigency 447</t>
  </si>
  <si>
    <t>CON 448</t>
  </si>
  <si>
    <t>Contigency 448</t>
  </si>
  <si>
    <t>CON 449</t>
  </si>
  <si>
    <t>Contigency 449</t>
  </si>
  <si>
    <t>CON 450</t>
  </si>
  <si>
    <t>Contigency 450</t>
  </si>
  <si>
    <t>CON 451</t>
  </si>
  <si>
    <t>Contigency 451</t>
  </si>
  <si>
    <t>CON 452</t>
  </si>
  <si>
    <t>Contigency 452</t>
  </si>
  <si>
    <t>CON 453</t>
  </si>
  <si>
    <t>Contigency 453</t>
  </si>
  <si>
    <t>CON 454</t>
  </si>
  <si>
    <t>Contigency 454</t>
  </si>
  <si>
    <t>CON 455</t>
  </si>
  <si>
    <t>Contigency 455</t>
  </si>
  <si>
    <t>CON 456</t>
  </si>
  <si>
    <t>Contigency 456</t>
  </si>
  <si>
    <t>CON 457</t>
  </si>
  <si>
    <t>Contigency 457</t>
  </si>
  <si>
    <t>CON 458</t>
  </si>
  <si>
    <t>Contigency 458</t>
  </si>
  <si>
    <t>CON 459</t>
  </si>
  <si>
    <t>Contigency 459</t>
  </si>
  <si>
    <t>CON 460</t>
  </si>
  <si>
    <t>Contigency 460</t>
  </si>
  <si>
    <t>CON 461</t>
  </si>
  <si>
    <t>Contigency 461</t>
  </si>
  <si>
    <t>CON 462</t>
  </si>
  <si>
    <t>Contigency 462</t>
  </si>
  <si>
    <t>CON 463</t>
  </si>
  <si>
    <t>Contigency 463</t>
  </si>
  <si>
    <t>CON 464</t>
  </si>
  <si>
    <t>Contigency 464</t>
  </si>
  <si>
    <t>CON 465</t>
  </si>
  <si>
    <t>Contigency 465</t>
  </si>
  <si>
    <t>CON 466</t>
  </si>
  <si>
    <t>Contigency 466</t>
  </si>
  <si>
    <t>CON 467</t>
  </si>
  <si>
    <t>Contigency 467</t>
  </si>
  <si>
    <t>CON 468</t>
  </si>
  <si>
    <t>Contigency 468</t>
  </si>
  <si>
    <t>CON 469</t>
  </si>
  <si>
    <t>Contigency 469</t>
  </si>
  <si>
    <t>CON 470</t>
  </si>
  <si>
    <t>Contigency 470</t>
  </si>
  <si>
    <t>CON 471</t>
  </si>
  <si>
    <t>Contigency 471</t>
  </si>
  <si>
    <t>CON 472</t>
  </si>
  <si>
    <t>Contigency 472</t>
  </si>
  <si>
    <t>CON 473</t>
  </si>
  <si>
    <t>Contigency 473</t>
  </si>
  <si>
    <t>CON 474</t>
  </si>
  <si>
    <t>Contigency 474</t>
  </si>
  <si>
    <t>CON 475</t>
  </si>
  <si>
    <t>Contigency 475</t>
  </si>
  <si>
    <t>CON 476</t>
  </si>
  <si>
    <t>Contigency 476</t>
  </si>
  <si>
    <t>CON 477</t>
  </si>
  <si>
    <t>Contigency 477</t>
  </si>
  <si>
    <t>CON 478</t>
  </si>
  <si>
    <t>Contigency 478</t>
  </si>
  <si>
    <t>CON 479</t>
  </si>
  <si>
    <t>Contigency 479</t>
  </si>
  <si>
    <t>CON 480</t>
  </si>
  <si>
    <t>Contigency 480</t>
  </si>
  <si>
    <t>CON 481</t>
  </si>
  <si>
    <t>Contigency 481</t>
  </si>
  <si>
    <t>CON 482</t>
  </si>
  <si>
    <t>Contigency 482</t>
  </si>
  <si>
    <t>CON 483</t>
  </si>
  <si>
    <t>Contigency 483</t>
  </si>
  <si>
    <t>CON 484</t>
  </si>
  <si>
    <t>Contigency 484</t>
  </si>
  <si>
    <t>CON 485</t>
  </si>
  <si>
    <t>Contigency 485</t>
  </si>
  <si>
    <t>CON 486</t>
  </si>
  <si>
    <t>Contigency 486</t>
  </si>
  <si>
    <t>CON 487</t>
  </si>
  <si>
    <t>Contigency 487</t>
  </si>
  <si>
    <t>CON 488</t>
  </si>
  <si>
    <t>Contigency 488</t>
  </si>
  <si>
    <t>CON 489</t>
  </si>
  <si>
    <t>Contigency 489</t>
  </si>
  <si>
    <t>CON 490</t>
  </si>
  <si>
    <t>Contigency 490</t>
  </si>
  <si>
    <t>CON 491</t>
  </si>
  <si>
    <t>Contigency 491</t>
  </si>
  <si>
    <t>CON 492</t>
  </si>
  <si>
    <t>Contigency 492</t>
  </si>
  <si>
    <t>CON 493</t>
  </si>
  <si>
    <t>Contigency 493</t>
  </si>
  <si>
    <t>CON 494</t>
  </si>
  <si>
    <t>Contigency 494</t>
  </si>
  <si>
    <t>CON 495</t>
  </si>
  <si>
    <t>Contigency 495</t>
  </si>
  <si>
    <t>CON 496</t>
  </si>
  <si>
    <t>Contigency 496</t>
  </si>
  <si>
    <t>CON 497</t>
  </si>
  <si>
    <t>Contigency 497</t>
  </si>
  <si>
    <t>CON 498</t>
  </si>
  <si>
    <t>Contigency 498</t>
  </si>
  <si>
    <t>CON 499</t>
  </si>
  <si>
    <t>Contigency 499</t>
  </si>
  <si>
    <t>CON 500</t>
  </si>
  <si>
    <t>Contigency 500</t>
  </si>
  <si>
    <t>CON 501</t>
  </si>
  <si>
    <t>Contigency 501</t>
  </si>
  <si>
    <t>CON 502</t>
  </si>
  <si>
    <t>Contigency 502</t>
  </si>
  <si>
    <t>CON 503</t>
  </si>
  <si>
    <t>Contigency 503</t>
  </si>
  <si>
    <t>CON 504</t>
  </si>
  <si>
    <t>Contigency 504</t>
  </si>
  <si>
    <t>CON 505</t>
  </si>
  <si>
    <t>Contigency 505</t>
  </si>
  <si>
    <t>CON 506</t>
  </si>
  <si>
    <t>Contigency 506</t>
  </si>
  <si>
    <t>CON 507</t>
  </si>
  <si>
    <t>Contigency 507</t>
  </si>
  <si>
    <t>CON 508</t>
  </si>
  <si>
    <t>Contigency 508</t>
  </si>
  <si>
    <t>CON 509</t>
  </si>
  <si>
    <t>Contigency 509</t>
  </si>
  <si>
    <t>CON 510</t>
  </si>
  <si>
    <t>Contigency 510</t>
  </si>
  <si>
    <t>CON 511</t>
  </si>
  <si>
    <t>Contigency 511</t>
  </si>
  <si>
    <t>CON 512</t>
  </si>
  <si>
    <t>Contigency 512</t>
  </si>
  <si>
    <t>CON 513</t>
  </si>
  <si>
    <t>Contigency 513</t>
  </si>
  <si>
    <t>CON 514</t>
  </si>
  <si>
    <t>Contigency 514</t>
  </si>
  <si>
    <t>CON 515</t>
  </si>
  <si>
    <t>Contigency 515</t>
  </si>
  <si>
    <t>CON 516</t>
  </si>
  <si>
    <t>Contigency 516</t>
  </si>
  <si>
    <t>CON 517</t>
  </si>
  <si>
    <t>Contigency 517</t>
  </si>
  <si>
    <t>CON 518</t>
  </si>
  <si>
    <t>Contigency 518</t>
  </si>
  <si>
    <t>CON 519</t>
  </si>
  <si>
    <t>Contigency 519</t>
  </si>
  <si>
    <t>CON 520</t>
  </si>
  <si>
    <t>Contigency 520</t>
  </si>
  <si>
    <t>CON 521</t>
  </si>
  <si>
    <t>Contigency 521</t>
  </si>
  <si>
    <t>CON 522</t>
  </si>
  <si>
    <t>Contigency 522</t>
  </si>
  <si>
    <t>CON 523</t>
  </si>
  <si>
    <t>Contigency 523</t>
  </si>
  <si>
    <t>CON 524</t>
  </si>
  <si>
    <t>Contigency 524</t>
  </si>
  <si>
    <t>CON 525</t>
  </si>
  <si>
    <t>Contigency 525</t>
  </si>
  <si>
    <t>CON 526</t>
  </si>
  <si>
    <t>Contigency 526</t>
  </si>
  <si>
    <t>CON 527</t>
  </si>
  <si>
    <t>Contigency 527</t>
  </si>
  <si>
    <t>CON 528</t>
  </si>
  <si>
    <t>Contigency 528</t>
  </si>
  <si>
    <t>CON 529</t>
  </si>
  <si>
    <t>Contigency 529</t>
  </si>
  <si>
    <t>CON 530</t>
  </si>
  <si>
    <t>Contigency 530</t>
  </si>
  <si>
    <t>CON 531</t>
  </si>
  <si>
    <t>Contigency 531</t>
  </si>
  <si>
    <t>CON 532</t>
  </si>
  <si>
    <t>Contigency 532</t>
  </si>
  <si>
    <t>CON 533</t>
  </si>
  <si>
    <t>Contigency 533</t>
  </si>
  <si>
    <t>CON 534</t>
  </si>
  <si>
    <t>Contigency 534</t>
  </si>
  <si>
    <t>CON 535</t>
  </si>
  <si>
    <t>Contigency 535</t>
  </si>
  <si>
    <t>CON 536</t>
  </si>
  <si>
    <t>Contigency 536</t>
  </si>
  <si>
    <t>CON 537</t>
  </si>
  <si>
    <t>Contigency 537</t>
  </si>
  <si>
    <t>CON 538</t>
  </si>
  <si>
    <t>Contigency 538</t>
  </si>
  <si>
    <t>CON 539</t>
  </si>
  <si>
    <t>Contigency 539</t>
  </si>
  <si>
    <t>CON 540</t>
  </si>
  <si>
    <t>Contigency 540</t>
  </si>
  <si>
    <t>CON 541</t>
  </si>
  <si>
    <t>Contigency 541</t>
  </si>
  <si>
    <t>CON 542</t>
  </si>
  <si>
    <t>Contigency 542</t>
  </si>
  <si>
    <t>CON 543</t>
  </si>
  <si>
    <t>Contigency 543</t>
  </si>
  <si>
    <t>CON 544</t>
  </si>
  <si>
    <t>Contigency 544</t>
  </si>
  <si>
    <t>CON 545</t>
  </si>
  <si>
    <t>Contigency 545</t>
  </si>
  <si>
    <t>CON 546</t>
  </si>
  <si>
    <t>Contigency 546</t>
  </si>
  <si>
    <t>CON 547</t>
  </si>
  <si>
    <t>Contigency 547</t>
  </si>
  <si>
    <t>CON 548</t>
  </si>
  <si>
    <t>Contigency 548</t>
  </si>
  <si>
    <t>CON 549</t>
  </si>
  <si>
    <t>Contigency 549</t>
  </si>
  <si>
    <t>CON 550</t>
  </si>
  <si>
    <t>Contigency 550</t>
  </si>
  <si>
    <t>CON 551</t>
  </si>
  <si>
    <t>Contigency 551</t>
  </si>
  <si>
    <t>CON 552</t>
  </si>
  <si>
    <t>Contigency 552</t>
  </si>
  <si>
    <t>CON 553</t>
  </si>
  <si>
    <t>Contigency 553</t>
  </si>
  <si>
    <t>CON 554</t>
  </si>
  <si>
    <t>Contigency 554</t>
  </si>
  <si>
    <t>CON 555</t>
  </si>
  <si>
    <t>Contigency 555</t>
  </si>
  <si>
    <t>CON 556</t>
  </si>
  <si>
    <t>Contigency 556</t>
  </si>
  <si>
    <t>CON 557</t>
  </si>
  <si>
    <t>Contigency 557</t>
  </si>
  <si>
    <t>CON 558</t>
  </si>
  <si>
    <t>Contigency 558</t>
  </si>
  <si>
    <t>CON 559</t>
  </si>
  <si>
    <t>Contigency 559</t>
  </si>
  <si>
    <t>CON 560</t>
  </si>
  <si>
    <t>Contigency 560</t>
  </si>
  <si>
    <t>CON 561</t>
  </si>
  <si>
    <t>Contigency 561</t>
  </si>
  <si>
    <t>CON 562</t>
  </si>
  <si>
    <t>Contigency 562</t>
  </si>
  <si>
    <t>CON 563</t>
  </si>
  <si>
    <t>Contigency 563</t>
  </si>
  <si>
    <t>CON 564</t>
  </si>
  <si>
    <t>Contigency 564</t>
  </si>
  <si>
    <t>CON 565</t>
  </si>
  <si>
    <t>Contigency 565</t>
  </si>
  <si>
    <t>CON 566</t>
  </si>
  <si>
    <t>Contigency 566</t>
  </si>
  <si>
    <t>CON 567</t>
  </si>
  <si>
    <t>Contigency 567</t>
  </si>
  <si>
    <t>CON 568</t>
  </si>
  <si>
    <t>Contigency 568</t>
  </si>
  <si>
    <t>CON 569</t>
  </si>
  <si>
    <t>Contigency 569</t>
  </si>
  <si>
    <t>CON 570</t>
  </si>
  <si>
    <t>Contigency 570</t>
  </si>
  <si>
    <t>CON 571</t>
  </si>
  <si>
    <t>Contigency 571</t>
  </si>
  <si>
    <t>CON 572</t>
  </si>
  <si>
    <t>Contigency 572</t>
  </si>
  <si>
    <t>CON 573</t>
  </si>
  <si>
    <t>Contigency 573</t>
  </si>
  <si>
    <t>CON 574</t>
  </si>
  <si>
    <t>Contigency 574</t>
  </si>
  <si>
    <t>CON 575</t>
  </si>
  <si>
    <t>Contigency 575</t>
  </si>
  <si>
    <t>CON 576</t>
  </si>
  <si>
    <t>Contigency 576</t>
  </si>
  <si>
    <t>CON 577</t>
  </si>
  <si>
    <t>Contigency 577</t>
  </si>
  <si>
    <t>CON 578</t>
  </si>
  <si>
    <t>Contigency 578</t>
  </si>
  <si>
    <t>CON 579</t>
  </si>
  <si>
    <t>Contigency 579</t>
  </si>
  <si>
    <t>CON 580</t>
  </si>
  <si>
    <t>Contigency 580</t>
  </si>
  <si>
    <t>CON 581</t>
  </si>
  <si>
    <t>Contigency 581</t>
  </si>
  <si>
    <t>CON 582</t>
  </si>
  <si>
    <t>Contigency 582</t>
  </si>
  <si>
    <t>CON 583</t>
  </si>
  <si>
    <t>Contigency 583</t>
  </si>
  <si>
    <t>CON 584</t>
  </si>
  <si>
    <t>Contigency 584</t>
  </si>
  <si>
    <t>CON 585</t>
  </si>
  <si>
    <t>Contigency 585</t>
  </si>
  <si>
    <t>CON 586</t>
  </si>
  <si>
    <t>Contigency 586</t>
  </si>
  <si>
    <t>CON 587</t>
  </si>
  <si>
    <t>Contigency 587</t>
  </si>
  <si>
    <t>CON 588</t>
  </si>
  <si>
    <t>Contigency 588</t>
  </si>
  <si>
    <t>CON 589</t>
  </si>
  <si>
    <t>Contigency 589</t>
  </si>
  <si>
    <t>CON 590</t>
  </si>
  <si>
    <t>Contigency 590</t>
  </si>
  <si>
    <t>CON 591</t>
  </si>
  <si>
    <t>Contigency 591</t>
  </si>
  <si>
    <t>CON 592</t>
  </si>
  <si>
    <t>Contigency 592</t>
  </si>
  <si>
    <t>CON 593</t>
  </si>
  <si>
    <t>Contigency 593</t>
  </si>
  <si>
    <t>CON 594</t>
  </si>
  <si>
    <t>Contigency 594</t>
  </si>
  <si>
    <t>CON 595</t>
  </si>
  <si>
    <t>Contigency 595</t>
  </si>
  <si>
    <t>CON 596</t>
  </si>
  <si>
    <t>Contigency 596</t>
  </si>
  <si>
    <t>CON 597</t>
  </si>
  <si>
    <t>Contigency 597</t>
  </si>
  <si>
    <t>CON 598</t>
  </si>
  <si>
    <t>Contigency 598</t>
  </si>
  <si>
    <t>CON 599</t>
  </si>
  <si>
    <t>Contigency 599</t>
  </si>
  <si>
    <t>CON 600</t>
  </si>
  <si>
    <t>Contigency 600</t>
  </si>
  <si>
    <t>CON 601</t>
  </si>
  <si>
    <t>Contigency 601</t>
  </si>
  <si>
    <t>CON 602</t>
  </si>
  <si>
    <t>Contigency 602</t>
  </si>
  <si>
    <t>CON 603</t>
  </si>
  <si>
    <t>Contigency 603</t>
  </si>
  <si>
    <t>CON 604</t>
  </si>
  <si>
    <t>Contigency 604</t>
  </si>
  <si>
    <t>CON 605</t>
  </si>
  <si>
    <t>Contigency 605</t>
  </si>
  <si>
    <t>CON 606</t>
  </si>
  <si>
    <t>Contigency 606</t>
  </si>
  <si>
    <t>CON 607</t>
  </si>
  <si>
    <t>Contigency 607</t>
  </si>
  <si>
    <t>CON 608</t>
  </si>
  <si>
    <t>Contigency 608</t>
  </si>
  <si>
    <t>CON 609</t>
  </si>
  <si>
    <t>Contigency 609</t>
  </si>
  <si>
    <t>CON 610</t>
  </si>
  <si>
    <t>Contigency 610</t>
  </si>
  <si>
    <t>CON 611</t>
  </si>
  <si>
    <t>Contigency 611</t>
  </si>
  <si>
    <t>CON 612</t>
  </si>
  <si>
    <t>Contigency 612</t>
  </si>
  <si>
    <t>CON 613</t>
  </si>
  <si>
    <t>Contigency 613</t>
  </si>
  <si>
    <t>CON 614</t>
  </si>
  <si>
    <t>Contigency 614</t>
  </si>
  <si>
    <t>CON 615</t>
  </si>
  <si>
    <t>Contigency 615</t>
  </si>
  <si>
    <t>CON 616</t>
  </si>
  <si>
    <t>Contigency 616</t>
  </si>
  <si>
    <t>CON 617</t>
  </si>
  <si>
    <t>Contigency 617</t>
  </si>
  <si>
    <t>CON 618</t>
  </si>
  <si>
    <t>Contigency 618</t>
  </si>
  <si>
    <t>CON 619</t>
  </si>
  <si>
    <t>Contigency 619</t>
  </si>
  <si>
    <t>CON 620</t>
  </si>
  <si>
    <t>Contigency 620</t>
  </si>
  <si>
    <t>CON 621</t>
  </si>
  <si>
    <t>Contigency 621</t>
  </si>
  <si>
    <t>CON 622</t>
  </si>
  <si>
    <t>Contigency 622</t>
  </si>
  <si>
    <t>CON 623</t>
  </si>
  <si>
    <t>Contigency 623</t>
  </si>
  <si>
    <t>CON 624</t>
  </si>
  <si>
    <t>Contigency 624</t>
  </si>
  <si>
    <t>CON 625</t>
  </si>
  <si>
    <t>Contigency 625</t>
  </si>
  <si>
    <t>CON 626</t>
  </si>
  <si>
    <t>Contigency 626</t>
  </si>
  <si>
    <t>CON 627</t>
  </si>
  <si>
    <t>Contigency 627</t>
  </si>
  <si>
    <t>CON 628</t>
  </si>
  <si>
    <t>Contigency 628</t>
  </si>
  <si>
    <t>CON 629</t>
  </si>
  <si>
    <t>Contigency 629</t>
  </si>
  <si>
    <t>CON 630</t>
  </si>
  <si>
    <t>Contigency 630</t>
  </si>
  <si>
    <t>CON 631</t>
  </si>
  <si>
    <t>Contigency 631</t>
  </si>
  <si>
    <t>CON 632</t>
  </si>
  <si>
    <t>Contigency 632</t>
  </si>
  <si>
    <t>CON 633</t>
  </si>
  <si>
    <t>Contigency 633</t>
  </si>
  <si>
    <t>CON 634</t>
  </si>
  <si>
    <t>Contigency 634</t>
  </si>
  <si>
    <t>CON 635</t>
  </si>
  <si>
    <t>Contigency 635</t>
  </si>
  <si>
    <t>CON 636</t>
  </si>
  <si>
    <t>Contigency 636</t>
  </si>
  <si>
    <t>CON 637</t>
  </si>
  <si>
    <t>Contigency 637</t>
  </si>
  <si>
    <t>CON 638</t>
  </si>
  <si>
    <t>Contigency 638</t>
  </si>
  <si>
    <t>CON 639</t>
  </si>
  <si>
    <t>Contigency 639</t>
  </si>
  <si>
    <t>CON 640</t>
  </si>
  <si>
    <t>Contigency 640</t>
  </si>
  <si>
    <t>CON 641</t>
  </si>
  <si>
    <t>Contigency 641</t>
  </si>
  <si>
    <t>CON 642</t>
  </si>
  <si>
    <t>Contigency 642</t>
  </si>
  <si>
    <t>CON 643</t>
  </si>
  <si>
    <t>Contigency 643</t>
  </si>
  <si>
    <t>CON 644</t>
  </si>
  <si>
    <t>Contigency 644</t>
  </si>
  <si>
    <t>CON 645</t>
  </si>
  <si>
    <t>Contigency 645</t>
  </si>
  <si>
    <t>CON 646</t>
  </si>
  <si>
    <t>Contigency 646</t>
  </si>
  <si>
    <t>CON 647</t>
  </si>
  <si>
    <t>Contigency 647</t>
  </si>
  <si>
    <t>CON 648</t>
  </si>
  <si>
    <t>Contigency 648</t>
  </si>
  <si>
    <t>CON 649</t>
  </si>
  <si>
    <t>Contigency 649</t>
  </si>
  <si>
    <t>CON 650</t>
  </si>
  <si>
    <t>Contigency 650</t>
  </si>
  <si>
    <t>CON 651</t>
  </si>
  <si>
    <t>Contigency 651</t>
  </si>
  <si>
    <t>CON 652</t>
  </si>
  <si>
    <t>Contigency 652</t>
  </si>
  <si>
    <t>CON 653</t>
  </si>
  <si>
    <t>Contigency 653</t>
  </si>
  <si>
    <t>CON 654</t>
  </si>
  <si>
    <t>Contigency 654</t>
  </si>
  <si>
    <t>CON 655</t>
  </si>
  <si>
    <t>Contigency 655</t>
  </si>
  <si>
    <t>CON 656</t>
  </si>
  <si>
    <t>Contigency 656</t>
  </si>
  <si>
    <t>CON 657</t>
  </si>
  <si>
    <t>Contigency 657</t>
  </si>
  <si>
    <t>CON 658</t>
  </si>
  <si>
    <t>Contigency 658</t>
  </si>
  <si>
    <t>CON 659</t>
  </si>
  <si>
    <t>Contigency 659</t>
  </si>
  <si>
    <t>CON 660</t>
  </si>
  <si>
    <t>Contigency 660</t>
  </si>
  <si>
    <t>CON 661</t>
  </si>
  <si>
    <t>Contigency 661</t>
  </si>
  <si>
    <t>CON 662</t>
  </si>
  <si>
    <t>Contigency 662</t>
  </si>
  <si>
    <t>CON 663</t>
  </si>
  <si>
    <t>Contigency 663</t>
  </si>
  <si>
    <t>CON 664</t>
  </si>
  <si>
    <t>Contigency 664</t>
  </si>
  <si>
    <t>CON 665</t>
  </si>
  <si>
    <t>Contigency 665</t>
  </si>
  <si>
    <t>CON 666</t>
  </si>
  <si>
    <t>Contigency 666</t>
  </si>
  <si>
    <t>CON 667</t>
  </si>
  <si>
    <t>Contigency 667</t>
  </si>
  <si>
    <t>CON 668</t>
  </si>
  <si>
    <t>Contigency 668</t>
  </si>
  <si>
    <t>CON 669</t>
  </si>
  <si>
    <t>Contigency 669</t>
  </si>
  <si>
    <t>CON 670</t>
  </si>
  <si>
    <t>Contigency 670</t>
  </si>
  <si>
    <t>CON 671</t>
  </si>
  <si>
    <t>Contigency 671</t>
  </si>
  <si>
    <t>CON 672</t>
  </si>
  <si>
    <t>Contigency 672</t>
  </si>
  <si>
    <t>CON 673</t>
  </si>
  <si>
    <t>Contigency 673</t>
  </si>
  <si>
    <t>CON 674</t>
  </si>
  <si>
    <t>Contigency 674</t>
  </si>
  <si>
    <t>CON 675</t>
  </si>
  <si>
    <t>Contigency 675</t>
  </si>
  <si>
    <t>CON 676</t>
  </si>
  <si>
    <t>Contigency 676</t>
  </si>
  <si>
    <t>CON 677</t>
  </si>
  <si>
    <t>Contigency 677</t>
  </si>
  <si>
    <t>CON 678</t>
  </si>
  <si>
    <t>Contigency 678</t>
  </si>
  <si>
    <t>CON 679</t>
  </si>
  <si>
    <t>Contigency 679</t>
  </si>
  <si>
    <t>CON 680</t>
  </si>
  <si>
    <t>Contigency 680</t>
  </si>
  <si>
    <t>CON 681</t>
  </si>
  <si>
    <t>Contigency 681</t>
  </si>
  <si>
    <t>CON 682</t>
  </si>
  <si>
    <t>Contigency 682</t>
  </si>
  <si>
    <t>CON 683</t>
  </si>
  <si>
    <t>Contigency 683</t>
  </si>
  <si>
    <t>CON 684</t>
  </si>
  <si>
    <t>Contigency 684</t>
  </si>
  <si>
    <t>CON 685</t>
  </si>
  <si>
    <t>Contigency 685</t>
  </si>
  <si>
    <t>CON 686</t>
  </si>
  <si>
    <t>Contigency 686</t>
  </si>
  <si>
    <t>CON 687</t>
  </si>
  <si>
    <t>Contigency 687</t>
  </si>
  <si>
    <t>CON 688</t>
  </si>
  <si>
    <t>Contigency 688</t>
  </si>
  <si>
    <t>CON 689</t>
  </si>
  <si>
    <t>Contigency 689</t>
  </si>
  <si>
    <t>CON 690</t>
  </si>
  <si>
    <t>Contigency 690</t>
  </si>
  <si>
    <t>CON 691</t>
  </si>
  <si>
    <t>Contigency 691</t>
  </si>
  <si>
    <t>CON 692</t>
  </si>
  <si>
    <t>Contigency 692</t>
  </si>
  <si>
    <t>CON 693</t>
  </si>
  <si>
    <t>Contigency 693</t>
  </si>
  <si>
    <t>CON 694</t>
  </si>
  <si>
    <t>Contigency 694</t>
  </si>
  <si>
    <t>CON 695</t>
  </si>
  <si>
    <t>Contigency 695</t>
  </si>
  <si>
    <t>CON 696</t>
  </si>
  <si>
    <t>Contigency 696</t>
  </si>
  <si>
    <t>CON 697</t>
  </si>
  <si>
    <t>Contigency 697</t>
  </si>
  <si>
    <t>CON 698</t>
  </si>
  <si>
    <t>Contigency 698</t>
  </si>
  <si>
    <t>CON 699</t>
  </si>
  <si>
    <t>Contigency 699</t>
  </si>
  <si>
    <t>CON 700</t>
  </si>
  <si>
    <t>Contigency 700</t>
  </si>
  <si>
    <t>CON 701</t>
  </si>
  <si>
    <t>Contigency 701</t>
  </si>
  <si>
    <t>CON 702</t>
  </si>
  <si>
    <t>Contigency 702</t>
  </si>
  <si>
    <t>CON 703</t>
  </si>
  <si>
    <t>Contigency 703</t>
  </si>
  <si>
    <t>CON 704</t>
  </si>
  <si>
    <t>Contigency 704</t>
  </si>
  <si>
    <t>CON 705</t>
  </si>
  <si>
    <t>Contigency 705</t>
  </si>
  <si>
    <t>CON 706</t>
  </si>
  <si>
    <t>Contigency 706</t>
  </si>
  <si>
    <t>CON 707</t>
  </si>
  <si>
    <t>Contigency 707</t>
  </si>
  <si>
    <t>CON 708</t>
  </si>
  <si>
    <t>Contigency 708</t>
  </si>
  <si>
    <t>CON 709</t>
  </si>
  <si>
    <t>Contigency 709</t>
  </si>
  <si>
    <t>CON 710</t>
  </si>
  <si>
    <t>Contigency 710</t>
  </si>
  <si>
    <t>CON 711</t>
  </si>
  <si>
    <t>Contigency 711</t>
  </si>
  <si>
    <t>CON 712</t>
  </si>
  <si>
    <t>Contigency 712</t>
  </si>
  <si>
    <t>CON 713</t>
  </si>
  <si>
    <t>Contigency 713</t>
  </si>
  <si>
    <t>CON 714</t>
  </si>
  <si>
    <t>Contigency 714</t>
  </si>
  <si>
    <t>CON 715</t>
  </si>
  <si>
    <t>Contigency 715</t>
  </si>
  <si>
    <t>CON 716</t>
  </si>
  <si>
    <t>Contigency 716</t>
  </si>
  <si>
    <t>CON 717</t>
  </si>
  <si>
    <t>Contigency 717</t>
  </si>
  <si>
    <t>CON 718</t>
  </si>
  <si>
    <t>Contigency 718</t>
  </si>
  <si>
    <t>CON 719</t>
  </si>
  <si>
    <t>Contigency 719</t>
  </si>
  <si>
    <t>CON 720</t>
  </si>
  <si>
    <t>Contigency 720</t>
  </si>
  <si>
    <t>CON 721</t>
  </si>
  <si>
    <t>Contigency 721</t>
  </si>
  <si>
    <t>CON 722</t>
  </si>
  <si>
    <t>Contigency 722</t>
  </si>
  <si>
    <t>CON 723</t>
  </si>
  <si>
    <t>Contigency 723</t>
  </si>
  <si>
    <t>CON 724</t>
  </si>
  <si>
    <t>Contigency 724</t>
  </si>
  <si>
    <t>CON 725</t>
  </si>
  <si>
    <t>Contigency 725</t>
  </si>
  <si>
    <t>CON 726</t>
  </si>
  <si>
    <t>Contigency 726</t>
  </si>
  <si>
    <t>CON 727</t>
  </si>
  <si>
    <t>Contigency 727</t>
  </si>
  <si>
    <t>CON 728</t>
  </si>
  <si>
    <t>Contigency 728</t>
  </si>
  <si>
    <t>CON 729</t>
  </si>
  <si>
    <t>Contigency 729</t>
  </si>
  <si>
    <t>CON 730</t>
  </si>
  <si>
    <t>Contigency 730</t>
  </si>
  <si>
    <t>CON 731</t>
  </si>
  <si>
    <t>Contigency 731</t>
  </si>
  <si>
    <t>CON 732</t>
  </si>
  <si>
    <t>Contigency 732</t>
  </si>
  <si>
    <t>CON 733</t>
  </si>
  <si>
    <t>Contigency 733</t>
  </si>
  <si>
    <t>CON 734</t>
  </si>
  <si>
    <t>Contigency 734</t>
  </si>
  <si>
    <t>CON 735</t>
  </si>
  <si>
    <t>Contigency 735</t>
  </si>
  <si>
    <t>CON 736</t>
  </si>
  <si>
    <t>Contigency 736</t>
  </si>
  <si>
    <t>CON 737</t>
  </si>
  <si>
    <t>Contigency 737</t>
  </si>
  <si>
    <t>CON 738</t>
  </si>
  <si>
    <t>Contigency 738</t>
  </si>
  <si>
    <t>CON 739</t>
  </si>
  <si>
    <t>Contigency 739</t>
  </si>
  <si>
    <t>CON 740</t>
  </si>
  <si>
    <t>Contigency 740</t>
  </si>
  <si>
    <t>CON 741</t>
  </si>
  <si>
    <t>Contigency 741</t>
  </si>
  <si>
    <t>CON 742</t>
  </si>
  <si>
    <t>Contigency 742</t>
  </si>
  <si>
    <t>CON 743</t>
  </si>
  <si>
    <t>Contigency 743</t>
  </si>
  <si>
    <t>CON 744</t>
  </si>
  <si>
    <t>Contigency 744</t>
  </si>
  <si>
    <t>CON 745</t>
  </si>
  <si>
    <t>Contigency 745</t>
  </si>
  <si>
    <t>CON 746</t>
  </si>
  <si>
    <t>Contigency 746</t>
  </si>
  <si>
    <t>CON 747</t>
  </si>
  <si>
    <t>Contigency 747</t>
  </si>
  <si>
    <t>CON 748</t>
  </si>
  <si>
    <t>Contigency 748</t>
  </si>
  <si>
    <t>CON 749</t>
  </si>
  <si>
    <t>Contigency 749</t>
  </si>
  <si>
    <t>CON 750</t>
  </si>
  <si>
    <t>Contigency 750</t>
  </si>
  <si>
    <t>CON 751</t>
  </si>
  <si>
    <t>Contigency 751</t>
  </si>
  <si>
    <t>CON 752</t>
  </si>
  <si>
    <t>Contigency 752</t>
  </si>
  <si>
    <t>CON 753</t>
  </si>
  <si>
    <t>Contigency 753</t>
  </si>
  <si>
    <t>CON 754</t>
  </si>
  <si>
    <t>Contigency 754</t>
  </si>
  <si>
    <t>CON 755</t>
  </si>
  <si>
    <t>Contigency 755</t>
  </si>
  <si>
    <t>CON 756</t>
  </si>
  <si>
    <t>Contigency 756</t>
  </si>
  <si>
    <t>CON 757</t>
  </si>
  <si>
    <t>Contigency 757</t>
  </si>
  <si>
    <t>CON 758</t>
  </si>
  <si>
    <t>Contigency 758</t>
  </si>
  <si>
    <t>CON 759</t>
  </si>
  <si>
    <t>Contigency 759</t>
  </si>
  <si>
    <t>CON 760</t>
  </si>
  <si>
    <t>Contigency 760</t>
  </si>
  <si>
    <t>CON 761</t>
  </si>
  <si>
    <t>Contigency 761</t>
  </si>
  <si>
    <t>CON 762</t>
  </si>
  <si>
    <t>Contigency 762</t>
  </si>
  <si>
    <t>CON 763</t>
  </si>
  <si>
    <t>Contigency 763</t>
  </si>
  <si>
    <t>CON 764</t>
  </si>
  <si>
    <t>Contigency 764</t>
  </si>
  <si>
    <t>CON 765</t>
  </si>
  <si>
    <t>Contigency 765</t>
  </si>
  <si>
    <t>CON 766</t>
  </si>
  <si>
    <t>Contigency 766</t>
  </si>
  <si>
    <t>CON 767</t>
  </si>
  <si>
    <t>Contigency 767</t>
  </si>
  <si>
    <t>CON 768</t>
  </si>
  <si>
    <t>Contigency 768</t>
  </si>
  <si>
    <t>CON 769</t>
  </si>
  <si>
    <t>Contigency 769</t>
  </si>
  <si>
    <t>CON 770</t>
  </si>
  <si>
    <t>Contigency 770</t>
  </si>
  <si>
    <t>CON 771</t>
  </si>
  <si>
    <t>Contigency 771</t>
  </si>
  <si>
    <t>CON 772</t>
  </si>
  <si>
    <t>Contigency 772</t>
  </si>
  <si>
    <t>CON 773</t>
  </si>
  <si>
    <t>Contigency 773</t>
  </si>
  <si>
    <t>CON 774</t>
  </si>
  <si>
    <t>Contigency 774</t>
  </si>
  <si>
    <t>CON 775</t>
  </si>
  <si>
    <t>Contigency 775</t>
  </si>
  <si>
    <t>CON 776</t>
  </si>
  <si>
    <t>Contigency 776</t>
  </si>
  <si>
    <t>CON 777</t>
  </si>
  <si>
    <t>Contigency 777</t>
  </si>
  <si>
    <t>CON 778</t>
  </si>
  <si>
    <t>Contigency 778</t>
  </si>
  <si>
    <t>CON 779</t>
  </si>
  <si>
    <t>Contigency 779</t>
  </si>
  <si>
    <t>CON 780</t>
  </si>
  <si>
    <t>Contigency 780</t>
  </si>
  <si>
    <t>CON 781</t>
  </si>
  <si>
    <t>Contigency 781</t>
  </si>
  <si>
    <t>CON 782</t>
  </si>
  <si>
    <t>Contigency 782</t>
  </si>
  <si>
    <t>CON 783</t>
  </si>
  <si>
    <t>Contigency 783</t>
  </si>
  <si>
    <t>CON 784</t>
  </si>
  <si>
    <t>Contigency 784</t>
  </si>
  <si>
    <t>CON 785</t>
  </si>
  <si>
    <t>Contigency 785</t>
  </si>
  <si>
    <t>CON 786</t>
  </si>
  <si>
    <t>Contigency 786</t>
  </si>
  <si>
    <t>CON 787</t>
  </si>
  <si>
    <t>Contigency 787</t>
  </si>
  <si>
    <t>CON 788</t>
  </si>
  <si>
    <t>Contigency 788</t>
  </si>
  <si>
    <t>CON 789</t>
  </si>
  <si>
    <t>Contigency 789</t>
  </si>
  <si>
    <t>CON 790</t>
  </si>
  <si>
    <t>Contigency 790</t>
  </si>
  <si>
    <t>CON 791</t>
  </si>
  <si>
    <t>Contigency 791</t>
  </si>
  <si>
    <t>CON 792</t>
  </si>
  <si>
    <t>Contigency 792</t>
  </si>
  <si>
    <t>CON 793</t>
  </si>
  <si>
    <t>Contigency 793</t>
  </si>
  <si>
    <t>CON 794</t>
  </si>
  <si>
    <t>Contigency 794</t>
  </si>
  <si>
    <t>CON 795</t>
  </si>
  <si>
    <t>Contigency 795</t>
  </si>
  <si>
    <t>CON 796</t>
  </si>
  <si>
    <t>Contigency 796</t>
  </si>
  <si>
    <t>CON 797</t>
  </si>
  <si>
    <t>Contigency 797</t>
  </si>
  <si>
    <t>CON 798</t>
  </si>
  <si>
    <t>Contigency 798</t>
  </si>
  <si>
    <t>CON 799</t>
  </si>
  <si>
    <t>Contigency 799</t>
  </si>
  <si>
    <t>CON 800</t>
  </si>
  <si>
    <t>Contigency 800</t>
  </si>
  <si>
    <t>CON 801</t>
  </si>
  <si>
    <t>Contigency 801</t>
  </si>
  <si>
    <t>CON 802</t>
  </si>
  <si>
    <t>Contigency 802</t>
  </si>
  <si>
    <t>CON 803</t>
  </si>
  <si>
    <t>Contigency 803</t>
  </si>
  <si>
    <t>CON 804</t>
  </si>
  <si>
    <t>Contigency 804</t>
  </si>
  <si>
    <t>CON 805</t>
  </si>
  <si>
    <t>Contigency 805</t>
  </si>
  <si>
    <t>CON 806</t>
  </si>
  <si>
    <t>Contigency 806</t>
  </si>
  <si>
    <t>CON 807</t>
  </si>
  <si>
    <t>Contigency 807</t>
  </si>
  <si>
    <t>CON 808</t>
  </si>
  <si>
    <t>Contigency 808</t>
  </si>
  <si>
    <t>CON 809</t>
  </si>
  <si>
    <t>Contigency 809</t>
  </si>
  <si>
    <t>CON 810</t>
  </si>
  <si>
    <t>Contigency 810</t>
  </si>
  <si>
    <t>CON 811</t>
  </si>
  <si>
    <t>Contigency 811</t>
  </si>
  <si>
    <t>CON 812</t>
  </si>
  <si>
    <t>Contigency 812</t>
  </si>
  <si>
    <t>CON 813</t>
  </si>
  <si>
    <t>Contigency 813</t>
  </si>
  <si>
    <t>CON 814</t>
  </si>
  <si>
    <t>Contigency 814</t>
  </si>
  <si>
    <t>CON 815</t>
  </si>
  <si>
    <t>Contigency 815</t>
  </si>
  <si>
    <t>CON 816</t>
  </si>
  <si>
    <t>Contigency 816</t>
  </si>
  <si>
    <t>CON 817</t>
  </si>
  <si>
    <t>Contigency 817</t>
  </si>
  <si>
    <t>CON 818</t>
  </si>
  <si>
    <t>Contigency 818</t>
  </si>
  <si>
    <t>CON 819</t>
  </si>
  <si>
    <t>Contigency 819</t>
  </si>
  <si>
    <t>CON 820</t>
  </si>
  <si>
    <t>Contigency 820</t>
  </si>
  <si>
    <t>CON 821</t>
  </si>
  <si>
    <t>Contigency 821</t>
  </si>
  <si>
    <t>CON 822</t>
  </si>
  <si>
    <t>Contigency 822</t>
  </si>
  <si>
    <t>CON 823</t>
  </si>
  <si>
    <t>Contigency 823</t>
  </si>
  <si>
    <t>CON 824</t>
  </si>
  <si>
    <t>Contigency 824</t>
  </si>
  <si>
    <t>CON 825</t>
  </si>
  <si>
    <t>Contigency 825</t>
  </si>
  <si>
    <t>CON 826</t>
  </si>
  <si>
    <t>Contigency 826</t>
  </si>
  <si>
    <t>CON 827</t>
  </si>
  <si>
    <t>Contigency 827</t>
  </si>
  <si>
    <t>CON 828</t>
  </si>
  <si>
    <t>Contigency 828</t>
  </si>
  <si>
    <t>CON 829</t>
  </si>
  <si>
    <t>Contigency 829</t>
  </si>
  <si>
    <t>CON 830</t>
  </si>
  <si>
    <t>Contigency 830</t>
  </si>
  <si>
    <t>CON 831</t>
  </si>
  <si>
    <t>Contigency 831</t>
  </si>
  <si>
    <t>CON 832</t>
  </si>
  <si>
    <t>Contigency 832</t>
  </si>
  <si>
    <t>CON 833</t>
  </si>
  <si>
    <t>Contigency 833</t>
  </si>
  <si>
    <t>CON 834</t>
  </si>
  <si>
    <t>Contigency 834</t>
  </si>
  <si>
    <t>CON 835</t>
  </si>
  <si>
    <t>Contigency 835</t>
  </si>
  <si>
    <t>CON 836</t>
  </si>
  <si>
    <t>Contigency 836</t>
  </si>
  <si>
    <t>CON 837</t>
  </si>
  <si>
    <t>Contigency 837</t>
  </si>
  <si>
    <t>CON 838</t>
  </si>
  <si>
    <t>Contigency 838</t>
  </si>
  <si>
    <t>CON 839</t>
  </si>
  <si>
    <t>Contigency 839</t>
  </si>
  <si>
    <t>CON 840</t>
  </si>
  <si>
    <t>Contigency 840</t>
  </si>
  <si>
    <t>CON 841</t>
  </si>
  <si>
    <t>Contigency 841</t>
  </si>
  <si>
    <t>CON 842</t>
  </si>
  <si>
    <t>Contigency 842</t>
  </si>
  <si>
    <t>CON 843</t>
  </si>
  <si>
    <t>Contigency 843</t>
  </si>
  <si>
    <t>CON 844</t>
  </si>
  <si>
    <t>Contigency 844</t>
  </si>
  <si>
    <t>CON 845</t>
  </si>
  <si>
    <t>Contigency 845</t>
  </si>
  <si>
    <t>CON 846</t>
  </si>
  <si>
    <t>Contigency 846</t>
  </si>
  <si>
    <t>CON 847</t>
  </si>
  <si>
    <t>Contigency 847</t>
  </si>
  <si>
    <t>CON 848</t>
  </si>
  <si>
    <t>Contigency 848</t>
  </si>
  <si>
    <t>CON 849</t>
  </si>
  <si>
    <t>Contigency 849</t>
  </si>
  <si>
    <t>CON 850</t>
  </si>
  <si>
    <t>Contigency 850</t>
  </si>
  <si>
    <t>CON 851</t>
  </si>
  <si>
    <t>Contigency 851</t>
  </si>
  <si>
    <t>CON 852</t>
  </si>
  <si>
    <t>Contigency 852</t>
  </si>
  <si>
    <t>CON 853</t>
  </si>
  <si>
    <t>Contigency 853</t>
  </si>
  <si>
    <t>CON 854</t>
  </si>
  <si>
    <t>Contigency 854</t>
  </si>
  <si>
    <t>CON 855</t>
  </si>
  <si>
    <t>Contigency 855</t>
  </si>
  <si>
    <t>CON 856</t>
  </si>
  <si>
    <t>Contigency 856</t>
  </si>
  <si>
    <t>CON 857</t>
  </si>
  <si>
    <t>Contigency 857</t>
  </si>
  <si>
    <t>CON 858</t>
  </si>
  <si>
    <t>Contigency 858</t>
  </si>
  <si>
    <t>CON 859</t>
  </si>
  <si>
    <t>Contigency 859</t>
  </si>
  <si>
    <t>CON 860</t>
  </si>
  <si>
    <t>Contigency 860</t>
  </si>
  <si>
    <t>CON 861</t>
  </si>
  <si>
    <t>Contigency 861</t>
  </si>
  <si>
    <t>CON 862</t>
  </si>
  <si>
    <t>Contigency 862</t>
  </si>
  <si>
    <t>CON 863</t>
  </si>
  <si>
    <t>Contigency 863</t>
  </si>
  <si>
    <t>CON 864</t>
  </si>
  <si>
    <t>Contigency 864</t>
  </si>
  <si>
    <t>CON 865</t>
  </si>
  <si>
    <t>Contigency 865</t>
  </si>
  <si>
    <t>CON 866</t>
  </si>
  <si>
    <t>Contigency 866</t>
  </si>
  <si>
    <t>CON 867</t>
  </si>
  <si>
    <t>Contigency 867</t>
  </si>
  <si>
    <t>CON 868</t>
  </si>
  <si>
    <t>Contigency 868</t>
  </si>
  <si>
    <t>CON 869</t>
  </si>
  <si>
    <t>Contigency 869</t>
  </si>
  <si>
    <t>CON 870</t>
  </si>
  <si>
    <t>Contigency 870</t>
  </si>
  <si>
    <t>CON 871</t>
  </si>
  <si>
    <t>Contigency 871</t>
  </si>
  <si>
    <t>CON 872</t>
  </si>
  <si>
    <t>Contigency 872</t>
  </si>
  <si>
    <t>CON 873</t>
  </si>
  <si>
    <t>Contigency 873</t>
  </si>
  <si>
    <t>CON 874</t>
  </si>
  <si>
    <t>Contigency 874</t>
  </si>
  <si>
    <t>CON 875</t>
  </si>
  <si>
    <t>Contigency 875</t>
  </si>
  <si>
    <t>CON 876</t>
  </si>
  <si>
    <t>Contigency 876</t>
  </si>
  <si>
    <t>CON 877</t>
  </si>
  <si>
    <t>Contigency 877</t>
  </si>
  <si>
    <t>CON 878</t>
  </si>
  <si>
    <t>Contigency 878</t>
  </si>
  <si>
    <t>CON 879</t>
  </si>
  <si>
    <t>Contigency 879</t>
  </si>
  <si>
    <t>CON 880</t>
  </si>
  <si>
    <t>Contigency 880</t>
  </si>
  <si>
    <t>CON 881</t>
  </si>
  <si>
    <t>Contigency 881</t>
  </si>
  <si>
    <t>CON 882</t>
  </si>
  <si>
    <t>Contigency 882</t>
  </si>
  <si>
    <t>CON 883</t>
  </si>
  <si>
    <t>Contigency 883</t>
  </si>
  <si>
    <t>CON 884</t>
  </si>
  <si>
    <t>Contigency 884</t>
  </si>
  <si>
    <t>CON 885</t>
  </si>
  <si>
    <t>Contigency 885</t>
  </si>
  <si>
    <t>CON 886</t>
  </si>
  <si>
    <t>Contigency 886</t>
  </si>
  <si>
    <t>CON 887</t>
  </si>
  <si>
    <t>Contigency 887</t>
  </si>
  <si>
    <t>CON 888</t>
  </si>
  <si>
    <t>Contigency 888</t>
  </si>
  <si>
    <t>CON 889</t>
  </si>
  <si>
    <t>Contigency 889</t>
  </si>
  <si>
    <t>CON 890</t>
  </si>
  <si>
    <t>Contigency 890</t>
  </si>
  <si>
    <t>CON 891</t>
  </si>
  <si>
    <t>Contigency 891</t>
  </si>
  <si>
    <t>CON 892</t>
  </si>
  <si>
    <t>Contigency 892</t>
  </si>
  <si>
    <t>CON 893</t>
  </si>
  <si>
    <t>Contigency 893</t>
  </si>
  <si>
    <t>CON 894</t>
  </si>
  <si>
    <t>Contigency 894</t>
  </si>
  <si>
    <t>CON 895</t>
  </si>
  <si>
    <t>Contigency 895</t>
  </si>
  <si>
    <t>CON 896</t>
  </si>
  <si>
    <t>Contigency 896</t>
  </si>
  <si>
    <t>CON 897</t>
  </si>
  <si>
    <t>Contigency 897</t>
  </si>
  <si>
    <t>CON 898</t>
  </si>
  <si>
    <t>Contigency 898</t>
  </si>
  <si>
    <t>CON 899</t>
  </si>
  <si>
    <t>Contigency 899</t>
  </si>
  <si>
    <t>CON 900</t>
  </si>
  <si>
    <t>Contigency 900</t>
  </si>
  <si>
    <t>CON 901</t>
  </si>
  <si>
    <t>Contigency 901</t>
  </si>
  <si>
    <t>CON 902</t>
  </si>
  <si>
    <t>Contigency 902</t>
  </si>
  <si>
    <t>CON 903</t>
  </si>
  <si>
    <t>Contigency 903</t>
  </si>
  <si>
    <t>CON 904</t>
  </si>
  <si>
    <t>Contigency 904</t>
  </si>
  <si>
    <t>CON 905</t>
  </si>
  <si>
    <t>Contigency 905</t>
  </si>
  <si>
    <t>CON 906</t>
  </si>
  <si>
    <t>Contigency 906</t>
  </si>
  <si>
    <t>CON 907</t>
  </si>
  <si>
    <t>Contigency 907</t>
  </si>
  <si>
    <t>CON 908</t>
  </si>
  <si>
    <t>Contigency 908</t>
  </si>
  <si>
    <t>CON 909</t>
  </si>
  <si>
    <t>Contigency 909</t>
  </si>
  <si>
    <t>CON 910</t>
  </si>
  <si>
    <t>Contigency 910</t>
  </si>
  <si>
    <t>CON 911</t>
  </si>
  <si>
    <t>Contigency 911</t>
  </si>
  <si>
    <t>CON 912</t>
  </si>
  <si>
    <t>Contigency 912</t>
  </si>
  <si>
    <t>CON 913</t>
  </si>
  <si>
    <t>Contigency 913</t>
  </si>
  <si>
    <t>CON 914</t>
  </si>
  <si>
    <t>Contigency 914</t>
  </si>
  <si>
    <t>CON 915</t>
  </si>
  <si>
    <t>Contigency 915</t>
  </si>
  <si>
    <t>CON 916</t>
  </si>
  <si>
    <t>Contigency 916</t>
  </si>
  <si>
    <t>CON 917</t>
  </si>
  <si>
    <t>Contigency 917</t>
  </si>
  <si>
    <t>CON 918</t>
  </si>
  <si>
    <t>Contigency 918</t>
  </si>
  <si>
    <t>CON 919</t>
  </si>
  <si>
    <t>Contigency 919</t>
  </si>
  <si>
    <t>CON 920</t>
  </si>
  <si>
    <t>Contigency 920</t>
  </si>
  <si>
    <t>CON 921</t>
  </si>
  <si>
    <t>Contigency 921</t>
  </si>
  <si>
    <t>CON 922</t>
  </si>
  <si>
    <t>Contigency 922</t>
  </si>
  <si>
    <t>CON 923</t>
  </si>
  <si>
    <t>Contigency 923</t>
  </si>
  <si>
    <t>CON 924</t>
  </si>
  <si>
    <t>Contigency 924</t>
  </si>
  <si>
    <t>CON 925</t>
  </si>
  <si>
    <t>Contigency 925</t>
  </si>
  <si>
    <t>CON 926</t>
  </si>
  <si>
    <t>Contigency 926</t>
  </si>
  <si>
    <t>CON 927</t>
  </si>
  <si>
    <t>Contigency 927</t>
  </si>
  <si>
    <t>CON 928</t>
  </si>
  <si>
    <t>Contigency 928</t>
  </si>
  <si>
    <t>CON 929</t>
  </si>
  <si>
    <t>Contigency 929</t>
  </si>
  <si>
    <t>CON 930</t>
  </si>
  <si>
    <t>Contigency 930</t>
  </si>
  <si>
    <t>CON 931</t>
  </si>
  <si>
    <t>Contigency 931</t>
  </si>
  <si>
    <t>CON 932</t>
  </si>
  <si>
    <t>Contigency 932</t>
  </si>
  <si>
    <t>CON 933</t>
  </si>
  <si>
    <t>Contigency 933</t>
  </si>
  <si>
    <t>CON 934</t>
  </si>
  <si>
    <t>Contigency 934</t>
  </si>
  <si>
    <t>CON 935</t>
  </si>
  <si>
    <t>Contigency 935</t>
  </si>
  <si>
    <t>CON 936</t>
  </si>
  <si>
    <t>Contigency 936</t>
  </si>
  <si>
    <t>CON 937</t>
  </si>
  <si>
    <t>Contigency 937</t>
  </si>
  <si>
    <t>CON 938</t>
  </si>
  <si>
    <t>Contigency 938</t>
  </si>
  <si>
    <t>CON 939</t>
  </si>
  <si>
    <t>Contigency 939</t>
  </si>
  <si>
    <t>CON 940</t>
  </si>
  <si>
    <t>Contigency 940</t>
  </si>
  <si>
    <t>CON 941</t>
  </si>
  <si>
    <t>Contigency 941</t>
  </si>
  <si>
    <t>CON 942</t>
  </si>
  <si>
    <t>Contigency 942</t>
  </si>
  <si>
    <t>CON 943</t>
  </si>
  <si>
    <t>Contigency 943</t>
  </si>
  <si>
    <t>CON 944</t>
  </si>
  <si>
    <t>Contigency 944</t>
  </si>
  <si>
    <t>CON 945</t>
  </si>
  <si>
    <t>Contigency 945</t>
  </si>
  <si>
    <t>CON 946</t>
  </si>
  <si>
    <t>Contigency 946</t>
  </si>
  <si>
    <t>CON 947</t>
  </si>
  <si>
    <t>Contigency 947</t>
  </si>
  <si>
    <t>CON 948</t>
  </si>
  <si>
    <t>Contigency 948</t>
  </si>
  <si>
    <t>CON 949</t>
  </si>
  <si>
    <t>Contigency 949</t>
  </si>
  <si>
    <t>CON 950</t>
  </si>
  <si>
    <t>Contigency 950</t>
  </si>
  <si>
    <t>CON 951</t>
  </si>
  <si>
    <t>Contigency 951</t>
  </si>
  <si>
    <t>CON 952</t>
  </si>
  <si>
    <t>Contigency 952</t>
  </si>
  <si>
    <t>CON 953</t>
  </si>
  <si>
    <t>Contigency 953</t>
  </si>
  <si>
    <t>CON 954</t>
  </si>
  <si>
    <t>Contigency 954</t>
  </si>
  <si>
    <t>CON 955</t>
  </si>
  <si>
    <t>Contigency 955</t>
  </si>
  <si>
    <t>CON 956</t>
  </si>
  <si>
    <t>Contigency 956</t>
  </si>
  <si>
    <t>CON 957</t>
  </si>
  <si>
    <t>Contigency 957</t>
  </si>
  <si>
    <t>CON 958</t>
  </si>
  <si>
    <t>Contigency 958</t>
  </si>
  <si>
    <t>CON 959</t>
  </si>
  <si>
    <t>Contigency 959</t>
  </si>
  <si>
    <t>CON 960</t>
  </si>
  <si>
    <t>Contigency 960</t>
  </si>
  <si>
    <t>CON 961</t>
  </si>
  <si>
    <t>Contigency 961</t>
  </si>
  <si>
    <t>CON 962</t>
  </si>
  <si>
    <t>Contigency 962</t>
  </si>
  <si>
    <t>CON 963</t>
  </si>
  <si>
    <t>Contigency 963</t>
  </si>
  <si>
    <t>CON 964</t>
  </si>
  <si>
    <t>Contigency 964</t>
  </si>
  <si>
    <t>CON 965</t>
  </si>
  <si>
    <t>Contigency 965</t>
  </si>
  <si>
    <t>CON 966</t>
  </si>
  <si>
    <t>Contigency 966</t>
  </si>
  <si>
    <t>CON 967</t>
  </si>
  <si>
    <t>Contigency 967</t>
  </si>
  <si>
    <t>CON 968</t>
  </si>
  <si>
    <t>Contigency 968</t>
  </si>
  <si>
    <t>CON 969</t>
  </si>
  <si>
    <t>Contigency 969</t>
  </si>
  <si>
    <t>CON 970</t>
  </si>
  <si>
    <t>Contigency 970</t>
  </si>
  <si>
    <t>CON 971</t>
  </si>
  <si>
    <t>Contigency 971</t>
  </si>
  <si>
    <t>CON 972</t>
  </si>
  <si>
    <t>Contigency 972</t>
  </si>
  <si>
    <t>CON 973</t>
  </si>
  <si>
    <t>Contigency 973</t>
  </si>
  <si>
    <t>CON 974</t>
  </si>
  <si>
    <t>Contigency 974</t>
  </si>
  <si>
    <t>CON 975</t>
  </si>
  <si>
    <t>Contigency 975</t>
  </si>
  <si>
    <t>CON 976</t>
  </si>
  <si>
    <t>Contigency 976</t>
  </si>
  <si>
    <t>CON 977</t>
  </si>
  <si>
    <t>Contigency 977</t>
  </si>
  <si>
    <t>CON 978</t>
  </si>
  <si>
    <t>Contigency 978</t>
  </si>
  <si>
    <t>CON 979</t>
  </si>
  <si>
    <t>Contigency 979</t>
  </si>
  <si>
    <t>CON 980</t>
  </si>
  <si>
    <t>Contigency 980</t>
  </si>
  <si>
    <t>CON 981</t>
  </si>
  <si>
    <t>Contigency 981</t>
  </si>
  <si>
    <t>CON 982</t>
  </si>
  <si>
    <t>Contigency 982</t>
  </si>
  <si>
    <t>CON 983</t>
  </si>
  <si>
    <t>Contigency 983</t>
  </si>
  <si>
    <t>CON 984</t>
  </si>
  <si>
    <t>Contigency 984</t>
  </si>
  <si>
    <t>CON 985</t>
  </si>
  <si>
    <t>Contigency 985</t>
  </si>
  <si>
    <t>CON 986</t>
  </si>
  <si>
    <t>Contigency 986</t>
  </si>
  <si>
    <t>CON 987</t>
  </si>
  <si>
    <t>Contigency 987</t>
  </si>
  <si>
    <t>CON 988</t>
  </si>
  <si>
    <t>Contigency 988</t>
  </si>
  <si>
    <t>CON 989</t>
  </si>
  <si>
    <t>Contigency 989</t>
  </si>
  <si>
    <t>CON 990</t>
  </si>
  <si>
    <t>Contigency 990</t>
  </si>
  <si>
    <t>CON 991</t>
  </si>
  <si>
    <t>Contigency 991</t>
  </si>
  <si>
    <t>CON 992</t>
  </si>
  <si>
    <t>Contigency 992</t>
  </si>
  <si>
    <t>CON 993</t>
  </si>
  <si>
    <t>Contigency 993</t>
  </si>
  <si>
    <t>CON 994</t>
  </si>
  <si>
    <t>Contigency 994</t>
  </si>
  <si>
    <t>CON 995</t>
  </si>
  <si>
    <t>Contigency 995</t>
  </si>
  <si>
    <t>CON 996</t>
  </si>
  <si>
    <t>Contigency 996</t>
  </si>
  <si>
    <t>CON 997</t>
  </si>
  <si>
    <t>Contigency 997</t>
  </si>
  <si>
    <t>CON 998</t>
  </si>
  <si>
    <t>Contigency 998</t>
  </si>
  <si>
    <t>CON 999</t>
  </si>
  <si>
    <t>Contigency 999</t>
  </si>
  <si>
    <t>CON 1000</t>
  </si>
  <si>
    <t>Contigency 1000</t>
  </si>
  <si>
    <t>CON 1001</t>
  </si>
  <si>
    <t>Contigency 1001</t>
  </si>
  <si>
    <t>Applied at the end for unknowns. What it means : Reserve for unforeseen issues—compliance audits, environment failures, urgent changes. Why it matters : Ensures project sustainability without renegotiation. Impact on pricing: Usually +3% to +10% applied at the end.</t>
  </si>
  <si>
    <t>Metric</t>
  </si>
  <si>
    <t>From Baselines sheet</t>
  </si>
  <si>
    <t>Baseline × Junior multiplier</t>
  </si>
  <si>
    <t>Baseline × Mid multiplier</t>
  </si>
  <si>
    <t>Baseline × Senior multiplier</t>
  </si>
  <si>
    <t>Location Multiplier</t>
  </si>
  <si>
    <t>Selected location multiplier</t>
  </si>
  <si>
    <t>Business Type Multiplier</t>
  </si>
  <si>
    <t>Selected business type multiplier</t>
  </si>
  <si>
    <t>Scope Complexity Multiplier</t>
  </si>
  <si>
    <t>Selected scope complexity multiplier</t>
  </si>
  <si>
    <t>SLAs Multiplier</t>
  </si>
  <si>
    <t>Selected SLA multiplier</t>
  </si>
  <si>
    <t>Adjusted Junior</t>
  </si>
  <si>
    <t>Adjusted Mid</t>
  </si>
  <si>
    <t>Adjusted Senior</t>
  </si>
  <si>
    <t>Junior% × Adjusted Junior + Mid% × Adjusted Mid + Senior% × Adjusted Senior</t>
  </si>
  <si>
    <t>Risk Buffer %</t>
  </si>
  <si>
    <t>Input as %</t>
  </si>
  <si>
    <t>Discount %</t>
  </si>
  <si>
    <t>Contingency %</t>
  </si>
  <si>
    <t>Apply discount</t>
  </si>
  <si>
    <t>Add contingency</t>
  </si>
  <si>
    <t>Junior %</t>
  </si>
  <si>
    <t>Mid%</t>
  </si>
  <si>
    <t>Senior %</t>
  </si>
  <si>
    <t>BT1</t>
  </si>
  <si>
    <t>BT2</t>
  </si>
  <si>
    <t>BT3</t>
  </si>
  <si>
    <t>BT4</t>
  </si>
  <si>
    <t>BT5</t>
  </si>
  <si>
    <t>BT6</t>
  </si>
  <si>
    <t>Selected Junior% Mix</t>
  </si>
  <si>
    <t>Selected Mid% Mix</t>
  </si>
  <si>
    <t>Selected Senior% Mix</t>
  </si>
  <si>
    <t>Value</t>
  </si>
  <si>
    <t xml:space="preserve">Experience Multiplier - Junior Rate </t>
  </si>
  <si>
    <t>Experience Multiplier - Mid Rate</t>
  </si>
  <si>
    <t>Experience Multiplier - Senior Rate</t>
  </si>
  <si>
    <t>Nov-25 USD</t>
  </si>
  <si>
    <t>Rate card Type Hourly / Daily / Monthly / Sprint wise / Milestone</t>
  </si>
  <si>
    <t>Rate card Type Hourly / Daily / Monthy / Sprint wise / Milestone</t>
  </si>
  <si>
    <t>Input</t>
  </si>
  <si>
    <t>Output</t>
  </si>
  <si>
    <t>Baseline * Junior multiplier × all multipliers</t>
  </si>
  <si>
    <t>Baseline * Mid multiplier × all multipliers</t>
  </si>
  <si>
    <t>Baseline * Senior multiplier × all multipliers</t>
  </si>
  <si>
    <t>Selected Currency</t>
  </si>
  <si>
    <t>Rate with Risk - Junior</t>
  </si>
  <si>
    <t>Rate with Risk - Senior</t>
  </si>
  <si>
    <t>Rate with Risk - Mid</t>
  </si>
  <si>
    <t>Apply Risk% - Junior</t>
  </si>
  <si>
    <t>Apply Risk% - Mid</t>
  </si>
  <si>
    <t>Apply Risk% - Senior</t>
  </si>
  <si>
    <t>Rate after Discount - Junior</t>
  </si>
  <si>
    <t>Rate after Discount - Mid</t>
  </si>
  <si>
    <t>Rate after Discount - Senior</t>
  </si>
  <si>
    <t>Final Rate - Junior</t>
  </si>
  <si>
    <t>Final Rate - Senior</t>
  </si>
  <si>
    <t>Final Rate - Mid</t>
  </si>
  <si>
    <t>Final Blended Rate</t>
  </si>
  <si>
    <r>
      <t>Purpose:</t>
    </r>
    <r>
      <rPr>
        <sz val="11"/>
        <color theme="1"/>
        <rFont val="Calibri"/>
        <family val="2"/>
        <scheme val="minor"/>
      </rPr>
      <t xml:space="preserve"> Covers </t>
    </r>
    <r>
      <rPr>
        <b/>
        <sz val="11"/>
        <color theme="1"/>
        <rFont val="Calibri"/>
        <family val="2"/>
        <scheme val="minor"/>
      </rPr>
      <t>known uncertainties</t>
    </r>
    <r>
      <rPr>
        <sz val="11"/>
        <color theme="1"/>
        <rFont val="Calibri"/>
        <family val="2"/>
        <scheme val="minor"/>
      </rPr>
      <t xml:space="preserve"> that could affect effort or cost.</t>
    </r>
  </si>
  <si>
    <r>
      <t>Examples:</t>
    </r>
    <r>
      <rPr>
        <sz val="11"/>
        <color theme="1"/>
        <rFont val="Calibri"/>
        <family val="2"/>
        <scheme val="minor"/>
      </rPr>
      <t xml:space="preserve"> Scope creep, dependency delays, client-side approvals.</t>
    </r>
  </si>
  <si>
    <r>
      <t>When applied:</t>
    </r>
    <r>
      <rPr>
        <sz val="11"/>
        <color theme="1"/>
        <rFont val="Calibri"/>
        <family val="2"/>
        <scheme val="minor"/>
      </rPr>
      <t xml:space="preserve"> After calculating base cost, before discount.</t>
    </r>
  </si>
  <si>
    <r>
      <t>Typical range: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+5% to +15%</t>
    </r>
    <r>
      <rPr>
        <sz val="11"/>
        <color theme="1"/>
        <rFont val="Calibri"/>
        <family val="2"/>
        <scheme val="minor"/>
      </rPr>
      <t>.</t>
    </r>
  </si>
  <si>
    <r>
      <t>Why needed:</t>
    </r>
    <r>
      <rPr>
        <sz val="11"/>
        <color theme="1"/>
        <rFont val="Calibri"/>
        <family val="2"/>
        <scheme val="minor"/>
      </rPr>
      <t xml:space="preserve"> Protects margin when predictable risks materialize.</t>
    </r>
  </si>
  <si>
    <t>Contingency</t>
  </si>
  <si>
    <r>
      <t>Purpose:</t>
    </r>
    <r>
      <rPr>
        <sz val="11"/>
        <color theme="1"/>
        <rFont val="Calibri"/>
        <family val="2"/>
        <scheme val="minor"/>
      </rPr>
      <t xml:space="preserve"> Covers </t>
    </r>
    <r>
      <rPr>
        <b/>
        <sz val="11"/>
        <color theme="1"/>
        <rFont val="Calibri"/>
        <family val="2"/>
        <scheme val="minor"/>
      </rPr>
      <t>unknown or unforeseen events</t>
    </r>
    <r>
      <rPr>
        <sz val="11"/>
        <color theme="1"/>
        <rFont val="Calibri"/>
        <family val="2"/>
        <scheme val="minor"/>
      </rPr>
      <t xml:space="preserve"> that cannot be predicted upfront.</t>
    </r>
  </si>
  <si>
    <r>
      <t>Examples:</t>
    </r>
    <r>
      <rPr>
        <sz val="11"/>
        <color theme="1"/>
        <rFont val="Calibri"/>
        <family val="2"/>
        <scheme val="minor"/>
      </rPr>
      <t xml:space="preserve"> Regulatory changes, sudden compliance audits, unexpected environment failures.</t>
    </r>
  </si>
  <si>
    <r>
      <t>When applied:</t>
    </r>
    <r>
      <rPr>
        <sz val="11"/>
        <color theme="1"/>
        <rFont val="Calibri"/>
        <family val="2"/>
        <scheme val="minor"/>
      </rPr>
      <t xml:space="preserve"> At the very end, after risk buffer and discount.</t>
    </r>
  </si>
  <si>
    <r>
      <t>Typical range: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+3% to +10%</t>
    </r>
    <r>
      <rPr>
        <sz val="11"/>
        <color theme="1"/>
        <rFont val="Calibri"/>
        <family val="2"/>
        <scheme val="minor"/>
      </rPr>
      <t>.</t>
    </r>
  </si>
  <si>
    <r>
      <t>Why needed:</t>
    </r>
    <r>
      <rPr>
        <sz val="11"/>
        <color theme="1"/>
        <rFont val="Calibri"/>
        <family val="2"/>
        <scheme val="minor"/>
      </rPr>
      <t xml:space="preserve"> Ensures sustainability without renegotiation when surprises occur.</t>
    </r>
  </si>
  <si>
    <t>Why both?</t>
  </si>
  <si>
    <r>
      <t>Risk Buffer</t>
    </r>
    <r>
      <rPr>
        <sz val="11"/>
        <color theme="1"/>
        <rFont val="Calibri"/>
        <family val="2"/>
        <scheme val="minor"/>
      </rPr>
      <t xml:space="preserve"> = planned for </t>
    </r>
    <r>
      <rPr>
        <b/>
        <sz val="11"/>
        <color theme="1"/>
        <rFont val="Calibri"/>
        <family val="2"/>
        <scheme val="minor"/>
      </rPr>
      <t>known risks</t>
    </r>
    <r>
      <rPr>
        <sz val="11"/>
        <color theme="1"/>
        <rFont val="Calibri"/>
        <family val="2"/>
        <scheme val="minor"/>
      </rPr>
      <t xml:space="preserve"> (we expect them, but not sure when/how).</t>
    </r>
  </si>
  <si>
    <r>
      <t>Contingency</t>
    </r>
    <r>
      <rPr>
        <sz val="11"/>
        <color theme="1"/>
        <rFont val="Calibri"/>
        <family val="2"/>
        <scheme val="minor"/>
      </rPr>
      <t xml:space="preserve"> = planned for </t>
    </r>
    <r>
      <rPr>
        <b/>
        <sz val="11"/>
        <color theme="1"/>
        <rFont val="Calibri"/>
        <family val="2"/>
        <scheme val="minor"/>
      </rPr>
      <t>unknown risks</t>
    </r>
    <r>
      <rPr>
        <sz val="11"/>
        <color theme="1"/>
        <rFont val="Calibri"/>
        <family val="2"/>
        <scheme val="minor"/>
      </rPr>
      <t xml:space="preserve"> (we don’t know what, but something might happen).</t>
    </r>
  </si>
  <si>
    <t>If you skip one:</t>
  </si>
  <si>
    <r>
      <t xml:space="preserve">Without </t>
    </r>
    <r>
      <rPr>
        <b/>
        <sz val="11"/>
        <color theme="1"/>
        <rFont val="Calibri"/>
        <family val="2"/>
        <scheme val="minor"/>
      </rPr>
      <t>Risk Buffer</t>
    </r>
    <r>
      <rPr>
        <sz val="11"/>
        <color theme="1"/>
        <rFont val="Calibri"/>
        <family val="2"/>
        <scheme val="minor"/>
      </rPr>
      <t>, you’ll lose margin on predictable issues.</t>
    </r>
  </si>
  <si>
    <r>
      <t xml:space="preserve">Without </t>
    </r>
    <r>
      <rPr>
        <b/>
        <sz val="11"/>
        <color theme="1"/>
        <rFont val="Calibri"/>
        <family val="2"/>
        <scheme val="minor"/>
      </rPr>
      <t>Contingency</t>
    </r>
    <r>
      <rPr>
        <sz val="11"/>
        <color theme="1"/>
        <rFont val="Calibri"/>
        <family val="2"/>
        <scheme val="minor"/>
      </rPr>
      <t>, you’ll scramble for budget when unexpected events hit.</t>
    </r>
  </si>
  <si>
    <t>Best Practice:</t>
  </si>
  <si>
    <r>
      <t xml:space="preserve">Use </t>
    </r>
    <r>
      <rPr>
        <b/>
        <sz val="11"/>
        <color theme="1"/>
        <rFont val="Calibri"/>
        <family val="2"/>
        <scheme val="minor"/>
      </rPr>
      <t>Risk Buffer</t>
    </r>
    <r>
      <rPr>
        <sz val="11"/>
        <color theme="1"/>
        <rFont val="Calibri"/>
        <family val="2"/>
        <scheme val="minor"/>
      </rPr>
      <t xml:space="preserve"> for project-specific uncertainties.</t>
    </r>
  </si>
  <si>
    <r>
      <t xml:space="preserve">Use </t>
    </r>
    <r>
      <rPr>
        <b/>
        <sz val="11"/>
        <color theme="1"/>
        <rFont val="Calibri"/>
        <family val="2"/>
        <scheme val="minor"/>
      </rPr>
      <t>Contingency</t>
    </r>
    <r>
      <rPr>
        <sz val="11"/>
        <color theme="1"/>
        <rFont val="Calibri"/>
        <family val="2"/>
        <scheme val="minor"/>
      </rPr>
      <t xml:space="preserve"> for organizational or external unknowns.</t>
    </r>
  </si>
  <si>
    <t>Keep them separate for transparency in client proposals.</t>
  </si>
  <si>
    <t>Baseline Rate</t>
  </si>
  <si>
    <t>Baseline Rate Card</t>
  </si>
  <si>
    <t>Experience Multiplier</t>
  </si>
  <si>
    <t>Currency Exchange</t>
  </si>
  <si>
    <t>Monthly Rate Card</t>
  </si>
  <si>
    <t>Discount Rates</t>
  </si>
  <si>
    <t>SLA</t>
  </si>
  <si>
    <t>Product ID</t>
  </si>
  <si>
    <t>Product Name</t>
  </si>
  <si>
    <t>Business Type ID</t>
  </si>
  <si>
    <t>Blended Rate ID</t>
  </si>
  <si>
    <t>Discount rate ID</t>
  </si>
  <si>
    <t>Scope Complexity ID</t>
  </si>
  <si>
    <t>SLA ID</t>
  </si>
  <si>
    <t>Risk Buffer ID</t>
  </si>
  <si>
    <t>Contingency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</si>
</sst>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14" fontId="0" fillId="0" borderId="0" xfId="0" applyNumberFormat="1"/>
    <xf numFmtId="2" fontId="0" fillId="3" borderId="5" xfId="0" applyNumberFormat="1" applyFont="1" applyFill="1" applyBorder="1"/>
    <xf numFmtId="2" fontId="0" fillId="4" borderId="5" xfId="0" applyNumberFormat="1" applyFont="1" applyFill="1" applyBorder="1"/>
    <xf numFmtId="2" fontId="0" fillId="3" borderId="8" xfId="0" applyNumberFormat="1" applyFont="1" applyFill="1" applyBorder="1"/>
    <xf numFmtId="0" fontId="0" fillId="4" borderId="6" xfId="0" applyFont="1" applyFill="1" applyBorder="1"/>
    <xf numFmtId="0" fontId="0" fillId="4" borderId="5" xfId="0" applyFill="1" applyBorder="1"/>
    <xf numFmtId="0" fontId="0" fillId="3" borderId="5" xfId="0" applyFill="1" applyBorder="1"/>
    <xf numFmtId="0" fontId="0" fillId="4" borderId="6" xfId="0" applyFill="1" applyBorder="1"/>
    <xf numFmtId="0" fontId="0" fillId="3" borderId="6" xfId="0" applyFill="1" applyBorder="1"/>
    <xf numFmtId="0" fontId="0" fillId="4" borderId="4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2" fillId="0" borderId="0" xfId="0" applyFon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FF62F27-049B-404D-99CF-0C7A647EB160}" name="Output" displayName="Output" ref="H2:J15" totalsRowShown="0" headerRowDxfId="1">
  <autoFilter ref="H2:J15" xr:uid="{3FF62F27-049B-404D-99CF-0C7A647EB160}"/>
  <tableColumns count="3">
    <tableColumn id="1" xr3:uid="{3282A323-F0FF-4BAB-8B0A-444B6C1A00B8}" name="Metric"/>
    <tableColumn id="2" xr3:uid="{469BF654-02C2-43CD-B78F-1FF24F74CFBB}" name="Value" dataDxfId="2"/>
    <tableColumn id="3" xr3:uid="{3CAD5B8F-1AD8-48CE-A5F6-0D0599F0C867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0E669C3-82CA-4F54-9C11-4813FE8BA062}" name="Input" displayName="Input" ref="B2:F18" totalsRowShown="0" headerRowDxfId="0">
  <autoFilter ref="B2:F18" xr:uid="{A0E669C3-82CA-4F54-9C11-4813FE8BA062}"/>
  <tableColumns count="5">
    <tableColumn id="1" xr3:uid="{28A31036-1690-44BB-BD9E-9197861388AB}" name="Metric"/>
    <tableColumn id="2" xr3:uid="{F3256A6D-9545-440F-94E3-A8F69E367A6E}" name="ID"/>
    <tableColumn id="3" xr3:uid="{A5E17C0D-EE55-4D68-9CE0-BB0B1B6DD776}" name="Particulars"/>
    <tableColumn id="4" xr3:uid="{82A26231-F44C-4CBC-92E3-4AF0FE5B7D73}" name="Value"/>
    <tableColumn id="5" xr3:uid="{C3007051-B834-45F2-B58E-8733DAEA095E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Rates" displayName="BaselineRates" ref="A1:D38">
  <autoFilter ref="A1:D38" xr:uid="{00000000-0009-0000-0100-000001000000}"/>
  <tableColumns count="4">
    <tableColumn id="4" xr3:uid="{642F9071-E21E-4F59-80DF-071C538637D4}" name="Service ID" dataDxfId="34"/>
    <tableColumn id="1" xr3:uid="{00000000-0010-0000-0000-000001000000}" name="Service"/>
    <tableColumn id="2" xr3:uid="{00000000-0010-0000-0000-000002000000}" name="Baseline USD/hour"/>
    <tableColumn id="3" xr3:uid="{00000000-0010-0000-0000-000003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E06DB-1637-4C48-AB9A-879AA3037942}" name="Table2" displayName="Table2" ref="A1:E10" totalsRowShown="0">
  <autoFilter ref="A1:E10" xr:uid="{EA6E06DB-1637-4C48-AB9A-879AA3037942}"/>
  <tableColumns count="5">
    <tableColumn id="4" xr3:uid="{96512C84-2B05-43C1-A2B8-23FB9D6E583A}" name="Experience Muliplier ID"/>
    <tableColumn id="1" xr3:uid="{5C7FD6C2-C4CA-4D89-A304-8C40BBDA1556}" name="Experience Muliplier Name"/>
    <tableColumn id="2" xr3:uid="{E27EE8BF-239E-4F90-8B3F-7FBDD7B5859E}" name="Experience Level"/>
    <tableColumn id="3" xr3:uid="{B3397012-8372-486F-A759-CCD30A2B1AE8}" name="Rate Card"/>
    <tableColumn id="5" xr3:uid="{E8ACDAFF-6CF8-4DC0-99AF-EFA183450F9A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A7A2D0-4D01-4967-8D3F-D6201D7F949A}" name="Table24" displayName="Table24" ref="A1:E10" totalsRowShown="0">
  <autoFilter ref="A1:E10" xr:uid="{B9A7A2D0-4D01-4967-8D3F-D6201D7F949A}"/>
  <tableColumns count="5">
    <tableColumn id="4" xr3:uid="{4617E610-C61D-4269-821C-221B71940B5D}" name="Location Muliplier ID"/>
    <tableColumn id="1" xr3:uid="{46CED788-A4BE-4C5A-B580-70E0F7F5069F}" name="Location Muliplier Name"/>
    <tableColumn id="2" xr3:uid="{64493BC9-B7BF-4E71-B905-88837D540BDC}" name="Location"/>
    <tableColumn id="3" xr3:uid="{BC986EE5-C985-4242-8879-EAD51FCD8290}" name="Rate Card"/>
    <tableColumn id="5" xr3:uid="{0BAAA5C3-CE9F-4445-A42D-E754C7BE4DD1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A709E5-A295-4A77-A3A2-28AC4185EC03}" name="FXRates" displayName="FXRates" ref="A1:E18">
  <autoFilter ref="A1:E18" xr:uid="{C3A709E5-A295-4A77-A3A2-28AC4185EC03}"/>
  <tableColumns count="5">
    <tableColumn id="4" xr3:uid="{CA4E9DBF-5F78-4441-B49E-28970A85F3C0}" name="Exchange Conversion ID" dataDxfId="33">
      <calculatedColumnFormula>CONCATENATE("Nov-25"," ",FXRates[[#This Row],[Currency]])</calculatedColumnFormula>
    </tableColumn>
    <tableColumn id="3" xr3:uid="{5F3CDB04-7CE9-44FA-8B91-7F87D372DDB1}" name="Month" dataDxfId="32"/>
    <tableColumn id="1" xr3:uid="{2001CC0D-E7D8-419E-815A-A67C5CDDBF61}" name="Currency"/>
    <tableColumn id="2" xr3:uid="{18B17730-1BAC-4EC4-9E00-DE9B8685E36D}" name="Conversion Rate (per 1 USD)"/>
    <tableColumn id="5" xr3:uid="{F6A03FB1-F5AD-4239-9759-315AFDF2A6B2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CC1CDC-985D-4DD4-BEE0-E490AA246750}" name="Table6" displayName="Table6" ref="A1:C15" totalsRowShown="0">
  <autoFilter ref="A1:C15" xr:uid="{09CC1CDC-985D-4DD4-BEE0-E490AA246750}"/>
  <tableColumns count="3">
    <tableColumn id="1" xr3:uid="{70E3B1C4-6EAE-4F54-84E1-2F7092B0BD29}" name="Type of Rate Card"/>
    <tableColumn id="2" xr3:uid="{C28471DE-F197-4F35-8527-3EDD87E07CEA}" name="Conversion"/>
    <tableColumn id="3" xr3:uid="{60D2823E-24EF-43C2-B4C6-018A5B5BA00B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305BC8-45B6-4BE6-BBDB-83AF49184605}" name="Table7" displayName="Table7" ref="A1:D7" totalsRowShown="0" headerRowDxfId="31" headerRowBorderDxfId="30">
  <autoFilter ref="A1:D7" xr:uid="{49305BC8-45B6-4BE6-BBDB-83AF49184605}"/>
  <tableColumns count="4">
    <tableColumn id="4" xr3:uid="{9FDA9782-0E29-4E31-B755-70D841F246A7}" name="Business Type ID"/>
    <tableColumn id="1" xr3:uid="{C2051F7C-678C-45CD-A702-A4F8A8252327}" name="Type of Companies"/>
    <tableColumn id="2" xr3:uid="{01CA3886-EE46-4FAB-AC08-001A6EEFA411}" name="Conversion"/>
    <tableColumn id="3" xr3:uid="{1532907A-5320-4A0C-BC16-1B0C9C39797E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9FAE5E-B372-4949-883F-82EACF849672}" name="Table8" displayName="Table8" ref="A1:D4" totalsRowShown="0" headerRowDxfId="29" headerRowBorderDxfId="28" tableBorderDxfId="27" totalsRowBorderDxfId="26">
  <autoFilter ref="A1:D4" xr:uid="{EE9FAE5E-B372-4949-883F-82EACF849672}"/>
  <tableColumns count="4">
    <tableColumn id="1" xr3:uid="{91C6998D-A934-4FD2-84C3-FC97966B8343}" name="Blended Rate ID"/>
    <tableColumn id="2" xr3:uid="{7D577F07-2097-42BE-A4A4-1B8BA7DE2DFF}" name="Type of Role"/>
    <tableColumn id="3" xr3:uid="{97431716-01A4-48DE-9155-476FF36F47E8}" name="Conversion"/>
    <tableColumn id="4" xr3:uid="{6E567B7E-C2B1-442D-8BB7-391C36F47EA5}" name="Notes" dataDxfId="2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7C6C5-FCD8-40FD-9D90-B5ED2B8E2698}" name="Table75" displayName="Table75" ref="A1:D1002" totalsRowShown="0" headerRowDxfId="24" headerRowBorderDxfId="23">
  <autoFilter ref="A1:D1002" xr:uid="{02E7C6C5-FCD8-40FD-9D90-B5ED2B8E2698}"/>
  <tableColumns count="4">
    <tableColumn id="4" xr3:uid="{1B668A41-407B-4B82-8677-429E2D21E0C7}" name="Discount rate ID"/>
    <tableColumn id="1" xr3:uid="{CE33B12F-9C49-439C-905E-1CDBE18DB039}" name="Name of Discount"/>
    <tableColumn id="2" xr3:uid="{4C16E505-D28F-4343-8F45-DE3F2F889DB4}" name="Discount"/>
    <tableColumn id="3" xr3:uid="{9B5706F0-7BF2-4498-82E8-D2565EA88F15}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8C1C8F-43F3-4764-9005-131B8F1ABA5D}" name="Table9" displayName="Table9" ref="A1:D5" totalsRowShown="0" headerRowDxfId="19" headerRowBorderDxfId="21" tableBorderDxfId="22" totalsRowBorderDxfId="20">
  <autoFilter ref="A1:D5" xr:uid="{698C1C8F-43F3-4764-9005-131B8F1ABA5D}"/>
  <tableColumns count="4">
    <tableColumn id="1" xr3:uid="{39917266-3D32-4BFF-BD1A-CFDC7DC0F113}" name="Scope Complexity ID"/>
    <tableColumn id="2" xr3:uid="{B2DDEBA5-A998-48C8-8FD4-0F7A111576CB}" name="Scope Complexity"/>
    <tableColumn id="3" xr3:uid="{DAFCDBBE-5EB7-4C29-AB86-7286157B5F70}" name="Multiplier"/>
    <tableColumn id="4" xr3:uid="{3D8DA9B4-A695-41C1-9385-977A0B6EC995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C224D7-53A0-4EE3-919C-654C87D8DF07}" name="Table911" displayName="Table911" ref="A1:D4" totalsRowShown="0" headerRowDxfId="18" headerRowBorderDxfId="16" tableBorderDxfId="17" totalsRowBorderDxfId="15">
  <autoFilter ref="A1:D4" xr:uid="{C7C224D7-53A0-4EE3-919C-654C87D8DF07}"/>
  <tableColumns count="4">
    <tableColumn id="1" xr3:uid="{872AF247-0272-4363-BE9F-F60F35B12CE1}" name="SLA ID"/>
    <tableColumn id="2" xr3:uid="{0DBE9400-5F5B-4711-8644-332D7D313F85}" name="SLA levels"/>
    <tableColumn id="3" xr3:uid="{EC51285E-8FCE-4469-B937-0F52A70C02E6}" name="Multiplier"/>
    <tableColumn id="4" xr3:uid="{8184454F-DDE4-45F3-B5FD-EA7C09ABD969}" name="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0469A6-EC54-4093-96C0-B89F306AEB2F}" name="Table91112" displayName="Table91112" ref="A1:D1002" totalsRowShown="0" headerRowDxfId="14" headerRowBorderDxfId="12" tableBorderDxfId="13" totalsRowBorderDxfId="11">
  <autoFilter ref="A1:D1002" xr:uid="{D50469A6-EC54-4093-96C0-B89F306AEB2F}"/>
  <tableColumns count="4">
    <tableColumn id="1" xr3:uid="{D070CC78-78DC-450A-AD8C-7B6F54E0D804}" name="Risk Buffer ID"/>
    <tableColumn id="2" xr3:uid="{2A13404E-6FD0-4664-A8B1-54BAB4CB3E71}" name="Risk Buffer"/>
    <tableColumn id="3" xr3:uid="{95A1D162-F9DD-462B-ACE2-9E617AB8826A}" name="Multiplier"/>
    <tableColumn id="4" xr3:uid="{2C4EB91A-8872-4377-85F7-1BC131508363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EDD431-C6B2-4B05-8A72-F5DA20A70A02}" name="Table12" displayName="Table12" ref="A1:D1002" totalsRowShown="0" headerRowDxfId="3" headerRowBorderDxfId="9" tableBorderDxfId="10" totalsRowBorderDxfId="8">
  <autoFilter ref="A1:D1002" xr:uid="{FAEDD431-C6B2-4B05-8A72-F5DA20A70A02}"/>
  <tableColumns count="4">
    <tableColumn id="1" xr3:uid="{9EE3D788-48C7-4F0C-9ACE-CA985FA6C2E9}" name="Contingency ID" dataDxfId="7"/>
    <tableColumn id="2" xr3:uid="{9FCBA947-575F-47F0-B668-0FD69FA8964A}" name="Contigency" dataDxfId="6"/>
    <tableColumn id="3" xr3:uid="{A1469AE5-0C5B-4A83-91A5-F69CB2A3E2C8}" name="Multiplier" dataDxfId="5"/>
    <tableColumn id="4" xr3:uid="{09D2875F-133F-496E-9BA7-646883B06155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931B-FBAD-40EF-BEE4-B06A5DA154CC}">
  <dimension ref="B2:B12"/>
  <sheetViews>
    <sheetView workbookViewId="0">
      <selection activeCell="G12" sqref="G12"/>
    </sheetView>
  </sheetViews>
  <sheetFormatPr defaultRowHeight="15" x14ac:dyDescent="0.25"/>
  <cols>
    <col min="2" max="2" width="23.140625" bestFit="1" customWidth="1"/>
  </cols>
  <sheetData>
    <row r="2" spans="2:2" x14ac:dyDescent="0.25">
      <c r="B2" t="s">
        <v>6292</v>
      </c>
    </row>
    <row r="3" spans="2:2" x14ac:dyDescent="0.25">
      <c r="B3" t="s">
        <v>6293</v>
      </c>
    </row>
    <row r="4" spans="2:2" x14ac:dyDescent="0.25">
      <c r="B4" t="s">
        <v>6214</v>
      </c>
    </row>
    <row r="5" spans="2:2" x14ac:dyDescent="0.25">
      <c r="B5" t="s">
        <v>6294</v>
      </c>
    </row>
    <row r="6" spans="2:2" x14ac:dyDescent="0.25">
      <c r="B6" t="s">
        <v>6295</v>
      </c>
    </row>
    <row r="7" spans="2:2" x14ac:dyDescent="0.25">
      <c r="B7" t="s">
        <v>6216</v>
      </c>
    </row>
    <row r="8" spans="2:2" x14ac:dyDescent="0.25">
      <c r="B8" t="s">
        <v>6296</v>
      </c>
    </row>
    <row r="9" spans="2:2" x14ac:dyDescent="0.25">
      <c r="B9" t="s">
        <v>2197</v>
      </c>
    </row>
    <row r="10" spans="2:2" x14ac:dyDescent="0.25">
      <c r="B10" t="s">
        <v>6297</v>
      </c>
    </row>
    <row r="11" spans="2:2" x14ac:dyDescent="0.25">
      <c r="B11" t="s">
        <v>2201</v>
      </c>
    </row>
    <row r="12" spans="2:2" x14ac:dyDescent="0.25">
      <c r="B12" t="s">
        <v>6275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A86D-137C-42EB-8FFE-9BE1924DD046}">
  <dimension ref="B2:C27"/>
  <sheetViews>
    <sheetView workbookViewId="0">
      <selection activeCell="E20" sqref="E20"/>
    </sheetView>
  </sheetViews>
  <sheetFormatPr defaultRowHeight="15" x14ac:dyDescent="0.25"/>
  <cols>
    <col min="2" max="2" width="12" bestFit="1" customWidth="1"/>
    <col min="3" max="3" width="85.42578125" bestFit="1" customWidth="1"/>
  </cols>
  <sheetData>
    <row r="2" spans="2:3" x14ac:dyDescent="0.25">
      <c r="B2" s="26" t="s">
        <v>2201</v>
      </c>
    </row>
    <row r="3" spans="2:3" x14ac:dyDescent="0.25">
      <c r="C3" s="26" t="s">
        <v>6270</v>
      </c>
    </row>
    <row r="4" spans="2:3" x14ac:dyDescent="0.25">
      <c r="C4" s="26" t="s">
        <v>6271</v>
      </c>
    </row>
    <row r="5" spans="2:3" x14ac:dyDescent="0.25">
      <c r="C5" s="26" t="s">
        <v>6272</v>
      </c>
    </row>
    <row r="6" spans="2:3" x14ac:dyDescent="0.25">
      <c r="C6" s="26" t="s">
        <v>6273</v>
      </c>
    </row>
    <row r="7" spans="2:3" x14ac:dyDescent="0.25">
      <c r="C7" s="26" t="s">
        <v>6274</v>
      </c>
    </row>
    <row r="9" spans="2:3" x14ac:dyDescent="0.25">
      <c r="B9" s="26" t="s">
        <v>6275</v>
      </c>
    </row>
    <row r="10" spans="2:3" x14ac:dyDescent="0.25">
      <c r="C10" s="26" t="s">
        <v>6276</v>
      </c>
    </row>
    <row r="11" spans="2:3" x14ac:dyDescent="0.25">
      <c r="C11" s="26" t="s">
        <v>6277</v>
      </c>
    </row>
    <row r="12" spans="2:3" x14ac:dyDescent="0.25">
      <c r="C12" s="26" t="s">
        <v>6278</v>
      </c>
    </row>
    <row r="13" spans="2:3" x14ac:dyDescent="0.25">
      <c r="C13" s="26" t="s">
        <v>6279</v>
      </c>
    </row>
    <row r="14" spans="2:3" x14ac:dyDescent="0.25">
      <c r="C14" s="26" t="s">
        <v>6280</v>
      </c>
    </row>
    <row r="16" spans="2:3" x14ac:dyDescent="0.25">
      <c r="B16" s="26" t="s">
        <v>6281</v>
      </c>
    </row>
    <row r="17" spans="2:3" x14ac:dyDescent="0.25">
      <c r="C17" s="26" t="s">
        <v>6282</v>
      </c>
    </row>
    <row r="18" spans="2:3" x14ac:dyDescent="0.25">
      <c r="C18" s="26" t="s">
        <v>6283</v>
      </c>
    </row>
    <row r="20" spans="2:3" x14ac:dyDescent="0.25">
      <c r="C20" t="s">
        <v>6284</v>
      </c>
    </row>
    <row r="21" spans="2:3" x14ac:dyDescent="0.25">
      <c r="C21" t="s">
        <v>6285</v>
      </c>
    </row>
    <row r="22" spans="2:3" x14ac:dyDescent="0.25">
      <c r="C22" t="s">
        <v>6286</v>
      </c>
    </row>
    <row r="24" spans="2:3" x14ac:dyDescent="0.25">
      <c r="B24" s="26" t="s">
        <v>6287</v>
      </c>
    </row>
    <row r="25" spans="2:3" x14ac:dyDescent="0.25">
      <c r="C25" t="s">
        <v>6288</v>
      </c>
    </row>
    <row r="26" spans="2:3" x14ac:dyDescent="0.25">
      <c r="C26" t="s">
        <v>6289</v>
      </c>
    </row>
    <row r="27" spans="2:3" x14ac:dyDescent="0.25">
      <c r="C27" t="s">
        <v>6290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0687-FA07-4973-8B43-6189B09CF155}">
  <dimension ref="A1:J18"/>
  <sheetViews>
    <sheetView workbookViewId="0">
      <selection activeCell="F23" sqref="F23"/>
    </sheetView>
  </sheetViews>
  <sheetFormatPr defaultRowHeight="15" x14ac:dyDescent="0.25"/>
  <cols>
    <col min="2" max="2" width="59.42578125" bestFit="1" customWidth="1"/>
    <col min="3" max="3" width="13.28515625" customWidth="1"/>
    <col min="4" max="4" width="21.140625" bestFit="1" customWidth="1"/>
    <col min="5" max="5" width="13.140625" customWidth="1"/>
    <col min="6" max="6" width="71.5703125" bestFit="1" customWidth="1"/>
    <col min="8" max="8" width="30.28515625" bestFit="1" customWidth="1"/>
    <col min="10" max="10" width="71.5703125" bestFit="1" customWidth="1"/>
  </cols>
  <sheetData>
    <row r="1" spans="1:10" x14ac:dyDescent="0.25">
      <c r="A1" s="26" t="s">
        <v>6251</v>
      </c>
      <c r="G1" s="26" t="s">
        <v>6252</v>
      </c>
    </row>
    <row r="2" spans="1:10" x14ac:dyDescent="0.25">
      <c r="B2" s="26" t="s">
        <v>6209</v>
      </c>
      <c r="C2" s="26" t="s">
        <v>149</v>
      </c>
      <c r="D2" s="26" t="s">
        <v>2196</v>
      </c>
      <c r="E2" s="26" t="s">
        <v>6244</v>
      </c>
      <c r="F2" s="26" t="s">
        <v>2</v>
      </c>
      <c r="H2" s="26" t="s">
        <v>6209</v>
      </c>
      <c r="I2" s="26" t="s">
        <v>6244</v>
      </c>
      <c r="J2" s="26" t="s">
        <v>2</v>
      </c>
    </row>
    <row r="3" spans="1:10" x14ac:dyDescent="0.25">
      <c r="B3" t="s">
        <v>6291</v>
      </c>
      <c r="C3" t="s">
        <v>81</v>
      </c>
      <c r="D3" t="str">
        <f>_xlfn.XLOOKUP(C3,'Baseline Rate Card'!A:A,'Baseline Rate Card'!B:B)</f>
        <v>API Integration</v>
      </c>
      <c r="E3">
        <f>_xlfn.XLOOKUP(C3,'Baseline Rate Card'!A:A,'Baseline Rate Card'!C:C)</f>
        <v>110</v>
      </c>
      <c r="F3" t="s">
        <v>6210</v>
      </c>
      <c r="H3" t="s">
        <v>6222</v>
      </c>
      <c r="I3" s="27">
        <f>E3*E4*E7*E8*E10*E11</f>
        <v>57.75</v>
      </c>
      <c r="J3" t="s">
        <v>6253</v>
      </c>
    </row>
    <row r="4" spans="1:10" x14ac:dyDescent="0.25">
      <c r="B4" t="s">
        <v>6245</v>
      </c>
      <c r="C4" t="s">
        <v>157</v>
      </c>
      <c r="D4" t="str">
        <f>_xlfn.XLOOKUP(C4,'Experience Multiplier'!A:A,'Experience Multiplier'!B:B)</f>
        <v>Experience Muliplier 1</v>
      </c>
      <c r="E4">
        <f>_xlfn.XLOOKUP(C4,'Experience Multiplier'!A:A,'Experience Multiplier'!D:D)</f>
        <v>0.7</v>
      </c>
      <c r="F4" t="s">
        <v>6211</v>
      </c>
      <c r="H4" t="s">
        <v>6223</v>
      </c>
      <c r="I4" s="27">
        <f>E3*E5*E7*E8*E10*E11</f>
        <v>82.5</v>
      </c>
      <c r="J4" t="s">
        <v>6254</v>
      </c>
    </row>
    <row r="5" spans="1:10" x14ac:dyDescent="0.25">
      <c r="B5" t="s">
        <v>6246</v>
      </c>
      <c r="C5" t="s">
        <v>158</v>
      </c>
      <c r="D5" t="str">
        <f>_xlfn.XLOOKUP(C5,'Experience Multiplier'!A:A,'Experience Multiplier'!B:B)</f>
        <v>Experience Muliplier 1</v>
      </c>
      <c r="E5">
        <f>_xlfn.XLOOKUP(C5,'Experience Multiplier'!A:A,'Experience Multiplier'!D:D)</f>
        <v>1</v>
      </c>
      <c r="F5" t="s">
        <v>6212</v>
      </c>
      <c r="H5" t="s">
        <v>6224</v>
      </c>
      <c r="I5" s="27">
        <f>E3*E6*E7*E8*E10*E11</f>
        <v>115.5</v>
      </c>
      <c r="J5" t="s">
        <v>6255</v>
      </c>
    </row>
    <row r="6" spans="1:10" x14ac:dyDescent="0.25">
      <c r="B6" t="s">
        <v>6247</v>
      </c>
      <c r="C6" t="s">
        <v>159</v>
      </c>
      <c r="D6" t="str">
        <f>_xlfn.XLOOKUP(C6,'Experience Multiplier'!A:A,'Experience Multiplier'!B:B)</f>
        <v>Experience Muliplier 1</v>
      </c>
      <c r="E6">
        <f>_xlfn.XLOOKUP(C6,'Experience Multiplier'!A:A,'Experience Multiplier'!D:D)</f>
        <v>1.4</v>
      </c>
      <c r="F6" t="s">
        <v>6213</v>
      </c>
      <c r="H6" t="s">
        <v>6257</v>
      </c>
      <c r="I6" s="27">
        <f>I3+(I3*E16)</f>
        <v>57.865499999999997</v>
      </c>
      <c r="J6" t="s">
        <v>6260</v>
      </c>
    </row>
    <row r="7" spans="1:10" x14ac:dyDescent="0.25">
      <c r="B7" t="s">
        <v>6214</v>
      </c>
      <c r="C7" t="s">
        <v>166</v>
      </c>
      <c r="D7" t="str">
        <f>_xlfn.XLOOKUP('Pricing Calculator'!C7,'Location Multiplier'!A:A,'Location Multiplier'!C:C)</f>
        <v>India Offshore</v>
      </c>
      <c r="E7">
        <f>_xlfn.XLOOKUP('Pricing Calculator'!C7,'Location Multiplier'!A:A,'Location Multiplier'!D:D)</f>
        <v>0.75</v>
      </c>
      <c r="F7" t="s">
        <v>6215</v>
      </c>
      <c r="H7" t="s">
        <v>6259</v>
      </c>
      <c r="I7" s="27">
        <f>I4+(I4*E16)</f>
        <v>82.665000000000006</v>
      </c>
      <c r="J7" t="s">
        <v>6261</v>
      </c>
    </row>
    <row r="8" spans="1:10" x14ac:dyDescent="0.25">
      <c r="B8" t="s">
        <v>6216</v>
      </c>
      <c r="C8" t="s">
        <v>6235</v>
      </c>
      <c r="D8" t="str">
        <f>_xlfn.XLOOKUP(C8,'Business Type Multiplier'!A:A,'Business Type Multiplier'!B:B)</f>
        <v>Standard Rate</v>
      </c>
      <c r="E8">
        <f>_xlfn.XLOOKUP(C8,'Business Type Multiplier'!A:A,'Business Type Multiplier'!C:C)</f>
        <v>1</v>
      </c>
      <c r="F8" t="s">
        <v>6217</v>
      </c>
      <c r="H8" t="s">
        <v>6258</v>
      </c>
      <c r="I8" s="27">
        <f>I5+(I5*E16)</f>
        <v>115.73099999999999</v>
      </c>
      <c r="J8" t="s">
        <v>6262</v>
      </c>
    </row>
    <row r="9" spans="1:10" x14ac:dyDescent="0.25">
      <c r="B9" t="s">
        <v>6218</v>
      </c>
      <c r="C9" t="s">
        <v>2184</v>
      </c>
      <c r="D9" t="str">
        <f>_xlfn.XLOOKUP(C9,'Scope Complexity'!A:A,'Scope Complexity'!B:B)</f>
        <v>Low</v>
      </c>
      <c r="E9">
        <f>_xlfn.XLOOKUP(C9,'Scope Complexity'!A:A,'Scope Complexity'!C:C)</f>
        <v>0.95</v>
      </c>
      <c r="F9" t="s">
        <v>6219</v>
      </c>
      <c r="H9" t="s">
        <v>6263</v>
      </c>
      <c r="I9" s="27">
        <f>I6-(I6*E17)</f>
        <v>57.807634499999999</v>
      </c>
      <c r="J9" t="s">
        <v>6230</v>
      </c>
    </row>
    <row r="10" spans="1:10" x14ac:dyDescent="0.25">
      <c r="B10" t="s">
        <v>6220</v>
      </c>
      <c r="C10" t="s">
        <v>2193</v>
      </c>
      <c r="D10" t="str">
        <f>_xlfn.XLOOKUP(C10,SLA!A:A,SLA!B:B)</f>
        <v>Business Hours</v>
      </c>
      <c r="E10">
        <f>_xlfn.XLOOKUP(C10,SLA!A:A,SLA!C:C)</f>
        <v>1</v>
      </c>
      <c r="F10" t="s">
        <v>6221</v>
      </c>
      <c r="H10" t="s">
        <v>6264</v>
      </c>
      <c r="I10" s="27">
        <f>I7-(I7*E17)</f>
        <v>82.582335</v>
      </c>
      <c r="J10" t="s">
        <v>6230</v>
      </c>
    </row>
    <row r="11" spans="1:10" x14ac:dyDescent="0.25">
      <c r="B11" t="s">
        <v>59</v>
      </c>
      <c r="C11" t="s">
        <v>6248</v>
      </c>
      <c r="D11" t="str">
        <f>_xlfn.XLOOKUP(C11,'Currency Exchange'!A:A,'Currency Exchange'!C:C)</f>
        <v>USD</v>
      </c>
      <c r="E11">
        <f>_xlfn.XLOOKUP(C11,'Currency Exchange'!A:A,'Currency Exchange'!D:D)</f>
        <v>1</v>
      </c>
      <c r="F11" t="s">
        <v>6256</v>
      </c>
      <c r="H11" t="s">
        <v>6265</v>
      </c>
      <c r="I11" s="27">
        <f>I8-(I8*E17)</f>
        <v>115.615269</v>
      </c>
      <c r="J11" t="s">
        <v>6230</v>
      </c>
    </row>
    <row r="12" spans="1:10" x14ac:dyDescent="0.25">
      <c r="B12" t="s">
        <v>6249</v>
      </c>
      <c r="C12" t="s">
        <v>119</v>
      </c>
      <c r="D12" t="str">
        <f>_xlfn.XLOOKUP(C12,'Monthly Rate Card'!A:A,'Monthly Rate Card'!A:A)</f>
        <v>Hour</v>
      </c>
      <c r="E12">
        <f>_xlfn.XLOOKUP(C12,'Monthly Rate Card'!A:A,'Monthly Rate Card'!B:B)</f>
        <v>1</v>
      </c>
      <c r="F12" t="s">
        <v>6250</v>
      </c>
      <c r="H12" t="s">
        <v>6266</v>
      </c>
      <c r="I12" s="27">
        <f>I9+(I9*E16)</f>
        <v>57.923249769000002</v>
      </c>
      <c r="J12" t="s">
        <v>6231</v>
      </c>
    </row>
    <row r="13" spans="1:10" x14ac:dyDescent="0.25">
      <c r="B13" t="s">
        <v>6232</v>
      </c>
      <c r="C13" t="s">
        <v>151</v>
      </c>
      <c r="D13" t="str">
        <f>_xlfn.XLOOKUP(C13,'Blended Rate'!A:A,'Blended Rate'!B:B)</f>
        <v>Junior</v>
      </c>
      <c r="E13">
        <f>_xlfn.XLOOKUP(C13,'Blended Rate'!A:A,'Blended Rate'!C:C)</f>
        <v>0.3</v>
      </c>
      <c r="F13" t="s">
        <v>6241</v>
      </c>
      <c r="H13" t="s">
        <v>6268</v>
      </c>
      <c r="I13" s="27">
        <f>I10+(I10*E16)</f>
        <v>82.747499669999996</v>
      </c>
      <c r="J13" t="s">
        <v>6231</v>
      </c>
    </row>
    <row r="14" spans="1:10" x14ac:dyDescent="0.25">
      <c r="B14" t="s">
        <v>6233</v>
      </c>
      <c r="C14" t="s">
        <v>152</v>
      </c>
      <c r="D14" t="str">
        <f>_xlfn.XLOOKUP(C14,'Blended Rate'!A:A,'Blended Rate'!B:B)</f>
        <v>Mid</v>
      </c>
      <c r="E14">
        <f>_xlfn.XLOOKUP(C14,'Blended Rate'!A:A,'Blended Rate'!C:C)</f>
        <v>0.5</v>
      </c>
      <c r="F14" t="s">
        <v>6242</v>
      </c>
      <c r="H14" t="s">
        <v>6267</v>
      </c>
      <c r="I14" s="27">
        <f>I11+(I11*E16)</f>
        <v>115.846499538</v>
      </c>
      <c r="J14" t="s">
        <v>6231</v>
      </c>
    </row>
    <row r="15" spans="1:10" x14ac:dyDescent="0.25">
      <c r="B15" t="s">
        <v>6234</v>
      </c>
      <c r="C15" t="s">
        <v>153</v>
      </c>
      <c r="D15" t="str">
        <f>_xlfn.XLOOKUP(C15,'Blended Rate'!A:A,'Blended Rate'!B:B)</f>
        <v>Senior</v>
      </c>
      <c r="E15">
        <f>_xlfn.XLOOKUP(C15,'Blended Rate'!A:A,'Blended Rate'!C:C)</f>
        <v>0.2</v>
      </c>
      <c r="F15" t="s">
        <v>6243</v>
      </c>
      <c r="H15" t="s">
        <v>6269</v>
      </c>
      <c r="I15" s="27">
        <f>(I12*E13)+(I13*E14)+(I14*E15)</f>
        <v>81.920024673300006</v>
      </c>
      <c r="J15" t="s">
        <v>6225</v>
      </c>
    </row>
    <row r="16" spans="1:10" x14ac:dyDescent="0.25">
      <c r="B16" t="s">
        <v>6226</v>
      </c>
      <c r="C16" t="s">
        <v>2206</v>
      </c>
      <c r="D16" t="str">
        <f>_xlfn.XLOOKUP(C16,'Risk Buffer'!A:A,'Risk Buffer'!B:B)</f>
        <v>Risk Buffer 3</v>
      </c>
      <c r="E16">
        <f>_xlfn.XLOOKUP(C16,'Risk Buffer'!A:A,'Risk Buffer'!C:C)</f>
        <v>2E-3</v>
      </c>
      <c r="F16" t="s">
        <v>6227</v>
      </c>
    </row>
    <row r="17" spans="2:6" x14ac:dyDescent="0.25">
      <c r="B17" t="s">
        <v>6228</v>
      </c>
      <c r="C17" t="s">
        <v>179</v>
      </c>
      <c r="D17" t="str">
        <f>_xlfn.XLOOKUP(C17,'Discount Rates'!A:A,'Discount Rates'!B:B)</f>
        <v>Discount 2</v>
      </c>
      <c r="E17">
        <f>_xlfn.XLOOKUP(C17,'Discount Rates'!A:A,'Discount Rates'!C:C)</f>
        <v>1E-3</v>
      </c>
      <c r="F17" t="s">
        <v>6227</v>
      </c>
    </row>
    <row r="18" spans="2:6" x14ac:dyDescent="0.25">
      <c r="B18" t="s">
        <v>6229</v>
      </c>
      <c r="C18" t="s">
        <v>4209</v>
      </c>
      <c r="D18" t="str">
        <f>_xlfn.XLOOKUP(C18,Contingency!A:A,Contingency!B:B)</f>
        <v>Contigency 2</v>
      </c>
      <c r="E18">
        <f>_xlfn.XLOOKUP(C18,Contingency!A:A,Contingency!C:C)</f>
        <v>1E-3</v>
      </c>
      <c r="F18" t="s">
        <v>6227</v>
      </c>
    </row>
  </sheetData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2">
        <x14:dataValidation type="list" allowBlank="1" showInputMessage="1" showErrorMessage="1" xr:uid="{BEA0EE8C-989C-4F13-9B6A-A02E2180F204}">
          <x14:formula1>
            <xm:f>'Baseline Rate Card'!$A:$A</xm:f>
          </x14:formula1>
          <xm:sqref>C3</xm:sqref>
        </x14:dataValidation>
        <x14:dataValidation type="list" allowBlank="1" showInputMessage="1" showErrorMessage="1" xr:uid="{2D950709-88AC-4775-ADC2-2F5F54062BC3}">
          <x14:formula1>
            <xm:f>'Experience Multiplier'!$A$1:$A$10</xm:f>
          </x14:formula1>
          <xm:sqref>C4:C6</xm:sqref>
        </x14:dataValidation>
        <x14:dataValidation type="list" allowBlank="1" showInputMessage="1" showErrorMessage="1" xr:uid="{4CAFDFAD-5663-4618-8963-FEE6EA77CF66}">
          <x14:formula1>
            <xm:f>'Location Multiplier'!$A$1:$A$10</xm:f>
          </x14:formula1>
          <xm:sqref>C7</xm:sqref>
        </x14:dataValidation>
        <x14:dataValidation type="list" allowBlank="1" showInputMessage="1" showErrorMessage="1" xr:uid="{B59AA4E4-319C-418E-9D69-DB146CAA1782}">
          <x14:formula1>
            <xm:f>'Business Type Multiplier'!$A$1:$A$7</xm:f>
          </x14:formula1>
          <xm:sqref>C8</xm:sqref>
        </x14:dataValidation>
        <x14:dataValidation type="list" allowBlank="1" showInputMessage="1" showErrorMessage="1" xr:uid="{F06148C1-BDEA-4581-BDC0-6505B42D7557}">
          <x14:formula1>
            <xm:f>'Scope Complexity'!$A$1:$A$5</xm:f>
          </x14:formula1>
          <xm:sqref>C9</xm:sqref>
        </x14:dataValidation>
        <x14:dataValidation type="list" allowBlank="1" showInputMessage="1" showErrorMessage="1" xr:uid="{84FC414E-2CF8-46C4-AB68-22D1588D5EBA}">
          <x14:formula1>
            <xm:f>SLA!$A$1:$A$4</xm:f>
          </x14:formula1>
          <xm:sqref>C10</xm:sqref>
        </x14:dataValidation>
        <x14:dataValidation type="list" allowBlank="1" showInputMessage="1" showErrorMessage="1" xr:uid="{CD66A554-C32D-4CE1-B790-E6CA53913E29}">
          <x14:formula1>
            <xm:f>'Currency Exchange'!$A:$A</xm:f>
          </x14:formula1>
          <xm:sqref>C11</xm:sqref>
        </x14:dataValidation>
        <x14:dataValidation type="list" allowBlank="1" showInputMessage="1" showErrorMessage="1" xr:uid="{8838C970-3E1A-4AC6-A871-4A197F438EF1}">
          <x14:formula1>
            <xm:f>'Monthly Rate Card'!$A:$A</xm:f>
          </x14:formula1>
          <xm:sqref>C12</xm:sqref>
        </x14:dataValidation>
        <x14:dataValidation type="list" allowBlank="1" showInputMessage="1" showErrorMessage="1" xr:uid="{4957FE83-0198-46E5-AAAF-9BA56A538215}">
          <x14:formula1>
            <xm:f>'Blended Rate'!$A:$A</xm:f>
          </x14:formula1>
          <xm:sqref>C13:C15</xm:sqref>
        </x14:dataValidation>
        <x14:dataValidation type="list" allowBlank="1" showInputMessage="1" showErrorMessage="1" xr:uid="{6591F67A-6698-41D0-BA03-952BABFC1CDB}">
          <x14:formula1>
            <xm:f>'Risk Buffer'!$A:$A</xm:f>
          </x14:formula1>
          <xm:sqref>C16</xm:sqref>
        </x14:dataValidation>
        <x14:dataValidation type="list" allowBlank="1" showInputMessage="1" showErrorMessage="1" xr:uid="{5058E346-A172-485B-8BBE-09BB8D556156}">
          <x14:formula1>
            <xm:f>'Discount Rates'!$A:$A</xm:f>
          </x14:formula1>
          <xm:sqref>C17</xm:sqref>
        </x14:dataValidation>
        <x14:dataValidation type="list" allowBlank="1" showInputMessage="1" showErrorMessage="1" xr:uid="{19DC9A2A-85FA-4A9E-BC9A-E7097448FAAB}">
          <x14:formula1>
            <xm:f>Contingency!$A:$A</xm:f>
          </x14:formula1>
          <xm:sqref>C18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2ECA-2459-4252-9E5A-CC3058EBA59A}">
  <dimension ref="A1:N6"/>
  <sheetViews>
    <sheetView tabSelected="1" workbookViewId="0">
      <selection activeCell="J17" sqref="J17"/>
    </sheetView>
  </sheetViews>
  <sheetFormatPr defaultColWidth="12.5703125" defaultRowHeight="15" x14ac:dyDescent="0.25"/>
  <cols>
    <col min="1" max="1" width="10.140625" bestFit="1" customWidth="1"/>
    <col min="2" max="2" width="13.7109375" bestFit="1" customWidth="1"/>
    <col min="3" max="3" width="9.7109375" bestFit="1" customWidth="1"/>
    <col min="4" max="4" width="22.28515625" bestFit="1" customWidth="1"/>
    <col min="5" max="5" width="19.7109375" bestFit="1" customWidth="1"/>
    <col min="6" max="6" width="22.42578125" bestFit="1" customWidth="1"/>
    <col min="7" max="7" width="15.85546875" bestFit="1" customWidth="1"/>
    <col min="8" max="8" width="15.28515625" bestFit="1" customWidth="1"/>
    <col min="9" max="9" width="15.140625" bestFit="1" customWidth="1"/>
    <col min="10" max="10" width="19.42578125" bestFit="1" customWidth="1"/>
    <col min="11" max="11" width="6.42578125" bestFit="1" customWidth="1"/>
    <col min="12" max="12" width="12.85546875" bestFit="1" customWidth="1"/>
    <col min="13" max="13" width="14.42578125" bestFit="1" customWidth="1"/>
    <col min="14" max="14" width="9.42578125" bestFit="1" customWidth="1"/>
  </cols>
  <sheetData>
    <row r="1" spans="1:14" x14ac:dyDescent="0.25">
      <c r="A1" s="26" t="s">
        <v>6298</v>
      </c>
      <c r="B1" s="26" t="s">
        <v>6299</v>
      </c>
      <c r="C1" s="26" t="s">
        <v>80</v>
      </c>
      <c r="D1" s="26" t="s">
        <v>50</v>
      </c>
      <c r="E1" s="26" t="s">
        <v>51</v>
      </c>
      <c r="F1" s="26" t="s">
        <v>79</v>
      </c>
      <c r="G1" s="26" t="s">
        <v>6300</v>
      </c>
      <c r="H1" s="26" t="s">
        <v>6301</v>
      </c>
      <c r="I1" s="26" t="s">
        <v>6302</v>
      </c>
      <c r="J1" s="26" t="s">
        <v>6303</v>
      </c>
      <c r="K1" s="26" t="s">
        <v>6304</v>
      </c>
      <c r="L1" s="26" t="s">
        <v>6305</v>
      </c>
      <c r="M1" s="26" t="s">
        <v>6306</v>
      </c>
      <c r="N1" s="26" t="s">
        <v>42</v>
      </c>
    </row>
    <row r="2" spans="1:14" x14ac:dyDescent="0.25">
      <c r="J2" s="28"/>
      <c r="K2" s="28"/>
      <c r="L2" s="28"/>
      <c r="M2" s="28"/>
      <c r="N2" s="28"/>
    </row>
    <row r="3" spans="1:14" x14ac:dyDescent="0.25">
      <c r="J3" s="28"/>
      <c r="K3" s="28"/>
      <c r="L3" s="28"/>
      <c r="M3" s="28"/>
      <c r="N3" s="28"/>
    </row>
    <row r="4" spans="1:14" x14ac:dyDescent="0.25">
      <c r="J4" s="28"/>
      <c r="K4" s="28"/>
      <c r="L4" s="28"/>
      <c r="M4" s="28"/>
      <c r="N4" s="28"/>
    </row>
    <row r="5" spans="1:14" x14ac:dyDescent="0.25">
      <c r="J5" s="28"/>
      <c r="K5" s="28"/>
      <c r="L5" s="28"/>
      <c r="M5" s="28"/>
      <c r="N5" s="28"/>
    </row>
    <row r="6" spans="1:14" x14ac:dyDescent="0.25">
      <c r="J6" s="28"/>
      <c r="K6" s="28"/>
      <c r="L6" s="28"/>
      <c r="M6" s="28"/>
      <c r="N6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/>
  </sheetViews>
  <sheetFormatPr defaultRowHeight="15" x14ac:dyDescent="0.25"/>
  <cols>
    <col min="1" max="1" width="12.140625" bestFit="1" customWidth="1"/>
    <col min="2" max="2" width="39.5703125" bestFit="1" customWidth="1"/>
    <col min="3" max="3" width="20.28515625" bestFit="1" customWidth="1"/>
    <col min="4" max="4" width="45.42578125" bestFit="1" customWidth="1"/>
  </cols>
  <sheetData>
    <row r="1" spans="1:4" x14ac:dyDescent="0.25">
      <c r="A1" t="s">
        <v>80</v>
      </c>
      <c r="B1" t="s">
        <v>0</v>
      </c>
      <c r="C1" t="s">
        <v>1</v>
      </c>
      <c r="D1" t="s">
        <v>2</v>
      </c>
    </row>
    <row r="2" spans="1:4" x14ac:dyDescent="0.25">
      <c r="A2" t="s">
        <v>81</v>
      </c>
      <c r="B2" t="s">
        <v>3</v>
      </c>
      <c r="C2">
        <v>110</v>
      </c>
      <c r="D2" t="s">
        <v>4</v>
      </c>
    </row>
    <row r="3" spans="1:4" x14ac:dyDescent="0.25">
      <c r="A3" t="s">
        <v>82</v>
      </c>
      <c r="B3" t="s">
        <v>5</v>
      </c>
      <c r="C3">
        <v>95</v>
      </c>
      <c r="D3" t="s">
        <v>4</v>
      </c>
    </row>
    <row r="4" spans="1:4" x14ac:dyDescent="0.25">
      <c r="A4" t="s">
        <v>83</v>
      </c>
      <c r="B4" t="s">
        <v>6</v>
      </c>
      <c r="C4">
        <v>105</v>
      </c>
      <c r="D4" t="s">
        <v>4</v>
      </c>
    </row>
    <row r="5" spans="1:4" x14ac:dyDescent="0.25">
      <c r="A5" t="s">
        <v>84</v>
      </c>
      <c r="B5" t="s">
        <v>7</v>
      </c>
      <c r="C5">
        <v>90</v>
      </c>
      <c r="D5" t="s">
        <v>4</v>
      </c>
    </row>
    <row r="6" spans="1:4" x14ac:dyDescent="0.25">
      <c r="A6" t="s">
        <v>85</v>
      </c>
      <c r="B6" t="s">
        <v>8</v>
      </c>
      <c r="C6">
        <v>130</v>
      </c>
      <c r="D6" t="s">
        <v>4</v>
      </c>
    </row>
    <row r="7" spans="1:4" x14ac:dyDescent="0.25">
      <c r="A7" t="s">
        <v>86</v>
      </c>
      <c r="B7" t="s">
        <v>9</v>
      </c>
      <c r="C7">
        <v>140</v>
      </c>
      <c r="D7" t="s">
        <v>4</v>
      </c>
    </row>
    <row r="8" spans="1:4" x14ac:dyDescent="0.25">
      <c r="A8" t="s">
        <v>87</v>
      </c>
      <c r="B8" t="s">
        <v>10</v>
      </c>
      <c r="C8">
        <v>140</v>
      </c>
      <c r="D8" t="s">
        <v>4</v>
      </c>
    </row>
    <row r="9" spans="1:4" x14ac:dyDescent="0.25">
      <c r="A9" t="s">
        <v>88</v>
      </c>
      <c r="B9" t="s">
        <v>11</v>
      </c>
      <c r="C9">
        <v>110</v>
      </c>
      <c r="D9" t="s">
        <v>4</v>
      </c>
    </row>
    <row r="10" spans="1:4" x14ac:dyDescent="0.25">
      <c r="A10" t="s">
        <v>89</v>
      </c>
      <c r="B10" t="s">
        <v>12</v>
      </c>
      <c r="C10">
        <v>95</v>
      </c>
      <c r="D10" t="s">
        <v>4</v>
      </c>
    </row>
    <row r="11" spans="1:4" x14ac:dyDescent="0.25">
      <c r="A11" t="s">
        <v>90</v>
      </c>
      <c r="B11" t="s">
        <v>13</v>
      </c>
      <c r="C11">
        <v>110</v>
      </c>
      <c r="D11" t="s">
        <v>4</v>
      </c>
    </row>
    <row r="12" spans="1:4" x14ac:dyDescent="0.25">
      <c r="A12" t="s">
        <v>91</v>
      </c>
      <c r="B12" t="s">
        <v>14</v>
      </c>
      <c r="C12">
        <v>120</v>
      </c>
      <c r="D12" t="s">
        <v>4</v>
      </c>
    </row>
    <row r="13" spans="1:4" x14ac:dyDescent="0.25">
      <c r="A13" t="s">
        <v>92</v>
      </c>
      <c r="B13" t="s">
        <v>15</v>
      </c>
      <c r="C13">
        <v>90</v>
      </c>
      <c r="D13" t="s">
        <v>4</v>
      </c>
    </row>
    <row r="14" spans="1:4" x14ac:dyDescent="0.25">
      <c r="A14" t="s">
        <v>93</v>
      </c>
      <c r="B14" t="s">
        <v>16</v>
      </c>
      <c r="C14">
        <v>150</v>
      </c>
      <c r="D14" t="s">
        <v>4</v>
      </c>
    </row>
    <row r="15" spans="1:4" x14ac:dyDescent="0.25">
      <c r="A15" t="s">
        <v>94</v>
      </c>
      <c r="B15" t="s">
        <v>17</v>
      </c>
      <c r="C15">
        <v>120</v>
      </c>
      <c r="D15" t="s">
        <v>4</v>
      </c>
    </row>
    <row r="16" spans="1:4" x14ac:dyDescent="0.25">
      <c r="A16" t="s">
        <v>95</v>
      </c>
      <c r="B16" t="s">
        <v>18</v>
      </c>
      <c r="C16">
        <v>140</v>
      </c>
      <c r="D16" t="s">
        <v>4</v>
      </c>
    </row>
    <row r="17" spans="1:4" x14ac:dyDescent="0.25">
      <c r="A17" t="s">
        <v>96</v>
      </c>
      <c r="B17" t="s">
        <v>19</v>
      </c>
      <c r="C17">
        <v>110</v>
      </c>
      <c r="D17" t="s">
        <v>4</v>
      </c>
    </row>
    <row r="18" spans="1:4" x14ac:dyDescent="0.25">
      <c r="A18" t="s">
        <v>97</v>
      </c>
      <c r="B18" t="s">
        <v>20</v>
      </c>
      <c r="C18">
        <v>160</v>
      </c>
      <c r="D18" t="s">
        <v>4</v>
      </c>
    </row>
    <row r="19" spans="1:4" x14ac:dyDescent="0.25">
      <c r="A19" t="s">
        <v>98</v>
      </c>
      <c r="B19" t="s">
        <v>21</v>
      </c>
      <c r="C19">
        <v>95</v>
      </c>
      <c r="D19" t="s">
        <v>4</v>
      </c>
    </row>
    <row r="20" spans="1:4" x14ac:dyDescent="0.25">
      <c r="A20" t="s">
        <v>99</v>
      </c>
      <c r="B20" t="s">
        <v>22</v>
      </c>
      <c r="C20">
        <v>85</v>
      </c>
      <c r="D20" t="s">
        <v>4</v>
      </c>
    </row>
    <row r="21" spans="1:4" x14ac:dyDescent="0.25">
      <c r="A21" t="s">
        <v>100</v>
      </c>
      <c r="B21" t="s">
        <v>23</v>
      </c>
      <c r="C21">
        <v>120</v>
      </c>
      <c r="D21" t="s">
        <v>4</v>
      </c>
    </row>
    <row r="22" spans="1:4" x14ac:dyDescent="0.25">
      <c r="A22" t="s">
        <v>101</v>
      </c>
      <c r="B22" t="s">
        <v>24</v>
      </c>
      <c r="C22">
        <v>100</v>
      </c>
      <c r="D22" t="s">
        <v>4</v>
      </c>
    </row>
    <row r="23" spans="1:4" x14ac:dyDescent="0.25">
      <c r="A23" t="s">
        <v>102</v>
      </c>
      <c r="B23" t="s">
        <v>25</v>
      </c>
      <c r="C23">
        <v>140</v>
      </c>
      <c r="D23" t="s">
        <v>4</v>
      </c>
    </row>
    <row r="24" spans="1:4" x14ac:dyDescent="0.25">
      <c r="A24" t="s">
        <v>103</v>
      </c>
      <c r="B24" t="s">
        <v>26</v>
      </c>
      <c r="C24">
        <v>130</v>
      </c>
      <c r="D24" t="s">
        <v>4</v>
      </c>
    </row>
    <row r="25" spans="1:4" x14ac:dyDescent="0.25">
      <c r="A25" t="s">
        <v>104</v>
      </c>
      <c r="B25" t="s">
        <v>27</v>
      </c>
      <c r="C25">
        <v>110</v>
      </c>
      <c r="D25" t="s">
        <v>4</v>
      </c>
    </row>
    <row r="26" spans="1:4" x14ac:dyDescent="0.25">
      <c r="A26" t="s">
        <v>105</v>
      </c>
      <c r="B26" t="s">
        <v>28</v>
      </c>
      <c r="C26">
        <v>100</v>
      </c>
      <c r="D26" t="s">
        <v>4</v>
      </c>
    </row>
    <row r="27" spans="1:4" x14ac:dyDescent="0.25">
      <c r="A27" t="s">
        <v>106</v>
      </c>
      <c r="B27" t="s">
        <v>29</v>
      </c>
      <c r="C27">
        <v>100</v>
      </c>
      <c r="D27" t="s">
        <v>4</v>
      </c>
    </row>
    <row r="28" spans="1:4" x14ac:dyDescent="0.25">
      <c r="A28" t="s">
        <v>107</v>
      </c>
      <c r="B28" t="s">
        <v>30</v>
      </c>
      <c r="C28">
        <v>130</v>
      </c>
      <c r="D28" t="s">
        <v>4</v>
      </c>
    </row>
    <row r="29" spans="1:4" x14ac:dyDescent="0.25">
      <c r="A29" t="s">
        <v>108</v>
      </c>
      <c r="B29" t="s">
        <v>31</v>
      </c>
      <c r="C29">
        <v>105</v>
      </c>
      <c r="D29" t="s">
        <v>4</v>
      </c>
    </row>
    <row r="30" spans="1:4" x14ac:dyDescent="0.25">
      <c r="A30" t="s">
        <v>109</v>
      </c>
      <c r="B30" t="s">
        <v>32</v>
      </c>
      <c r="C30">
        <v>100</v>
      </c>
      <c r="D30" t="s">
        <v>4</v>
      </c>
    </row>
    <row r="31" spans="1:4" x14ac:dyDescent="0.25">
      <c r="A31" t="s">
        <v>110</v>
      </c>
      <c r="B31" t="s">
        <v>33</v>
      </c>
      <c r="C31">
        <v>130</v>
      </c>
      <c r="D31" t="s">
        <v>4</v>
      </c>
    </row>
    <row r="32" spans="1:4" x14ac:dyDescent="0.25">
      <c r="A32" t="s">
        <v>111</v>
      </c>
      <c r="B32" t="s">
        <v>34</v>
      </c>
      <c r="C32">
        <v>120</v>
      </c>
      <c r="D32" t="s">
        <v>4</v>
      </c>
    </row>
    <row r="33" spans="1:4" x14ac:dyDescent="0.25">
      <c r="A33" t="s">
        <v>112</v>
      </c>
      <c r="B33" t="s">
        <v>35</v>
      </c>
      <c r="C33">
        <v>150</v>
      </c>
      <c r="D33" t="s">
        <v>4</v>
      </c>
    </row>
    <row r="34" spans="1:4" x14ac:dyDescent="0.25">
      <c r="A34" t="s">
        <v>113</v>
      </c>
      <c r="B34" t="s">
        <v>36</v>
      </c>
      <c r="C34">
        <v>140</v>
      </c>
      <c r="D34" t="s">
        <v>4</v>
      </c>
    </row>
    <row r="35" spans="1:4" x14ac:dyDescent="0.25">
      <c r="A35" t="s">
        <v>114</v>
      </c>
      <c r="B35" t="s">
        <v>37</v>
      </c>
      <c r="C35">
        <v>160</v>
      </c>
      <c r="D35" t="s">
        <v>4</v>
      </c>
    </row>
    <row r="36" spans="1:4" x14ac:dyDescent="0.25">
      <c r="A36" t="s">
        <v>115</v>
      </c>
      <c r="B36" t="s">
        <v>38</v>
      </c>
      <c r="C36">
        <v>140</v>
      </c>
      <c r="D36" t="s">
        <v>4</v>
      </c>
    </row>
    <row r="37" spans="1:4" x14ac:dyDescent="0.25">
      <c r="A37" t="s">
        <v>116</v>
      </c>
      <c r="B37" t="s">
        <v>39</v>
      </c>
      <c r="C37">
        <v>115</v>
      </c>
      <c r="D37" t="s">
        <v>4</v>
      </c>
    </row>
    <row r="38" spans="1:4" x14ac:dyDescent="0.25">
      <c r="A38" t="s">
        <v>117</v>
      </c>
      <c r="B38" t="s">
        <v>40</v>
      </c>
      <c r="C38">
        <v>140</v>
      </c>
      <c r="D38" t="s">
        <v>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5C0A-C0ED-4602-9074-A615360262DF}">
  <dimension ref="A1:E10"/>
  <sheetViews>
    <sheetView workbookViewId="0"/>
  </sheetViews>
  <sheetFormatPr defaultRowHeight="15" x14ac:dyDescent="0.25"/>
  <cols>
    <col min="1" max="1" width="24.5703125" bestFit="1" customWidth="1"/>
    <col min="2" max="2" width="28.140625" bestFit="1" customWidth="1"/>
    <col min="3" max="3" width="18.42578125" bestFit="1" customWidth="1"/>
    <col min="4" max="4" width="11.7109375" bestFit="1" customWidth="1"/>
    <col min="5" max="5" width="43.5703125" bestFit="1" customWidth="1"/>
  </cols>
  <sheetData>
    <row r="1" spans="1:5" ht="15.75" thickBot="1" x14ac:dyDescent="0.3">
      <c r="A1" s="1" t="s">
        <v>50</v>
      </c>
      <c r="B1" t="s">
        <v>49</v>
      </c>
      <c r="C1" t="s">
        <v>41</v>
      </c>
      <c r="D1" t="s">
        <v>42</v>
      </c>
      <c r="E1" t="s">
        <v>2</v>
      </c>
    </row>
    <row r="2" spans="1:5" ht="15.75" thickTop="1" x14ac:dyDescent="0.25">
      <c r="A2" t="s">
        <v>157</v>
      </c>
      <c r="B2" t="s">
        <v>43</v>
      </c>
      <c r="C2" t="s">
        <v>44</v>
      </c>
      <c r="D2">
        <v>0.7</v>
      </c>
      <c r="E2" t="s">
        <v>136</v>
      </c>
    </row>
    <row r="3" spans="1:5" x14ac:dyDescent="0.25">
      <c r="A3" t="s">
        <v>158</v>
      </c>
      <c r="B3" t="s">
        <v>43</v>
      </c>
      <c r="C3" t="s">
        <v>45</v>
      </c>
      <c r="D3">
        <v>1</v>
      </c>
      <c r="E3" t="s">
        <v>136</v>
      </c>
    </row>
    <row r="4" spans="1:5" x14ac:dyDescent="0.25">
      <c r="A4" t="s">
        <v>159</v>
      </c>
      <c r="B4" t="s">
        <v>43</v>
      </c>
      <c r="C4" t="s">
        <v>46</v>
      </c>
      <c r="D4">
        <v>1.4</v>
      </c>
      <c r="E4" t="s">
        <v>136</v>
      </c>
    </row>
    <row r="5" spans="1:5" x14ac:dyDescent="0.25">
      <c r="A5" t="s">
        <v>160</v>
      </c>
      <c r="B5" t="s">
        <v>47</v>
      </c>
      <c r="C5" t="s">
        <v>44</v>
      </c>
      <c r="D5">
        <v>0.65</v>
      </c>
      <c r="E5" t="s">
        <v>136</v>
      </c>
    </row>
    <row r="6" spans="1:5" x14ac:dyDescent="0.25">
      <c r="A6" t="s">
        <v>161</v>
      </c>
      <c r="B6" t="s">
        <v>47</v>
      </c>
      <c r="C6" t="s">
        <v>45</v>
      </c>
      <c r="D6">
        <v>0.95</v>
      </c>
      <c r="E6" t="s">
        <v>136</v>
      </c>
    </row>
    <row r="7" spans="1:5" x14ac:dyDescent="0.25">
      <c r="A7" t="s">
        <v>162</v>
      </c>
      <c r="B7" t="s">
        <v>47</v>
      </c>
      <c r="C7" t="s">
        <v>46</v>
      </c>
      <c r="D7">
        <v>1.35</v>
      </c>
      <c r="E7" t="s">
        <v>136</v>
      </c>
    </row>
    <row r="8" spans="1:5" x14ac:dyDescent="0.25">
      <c r="A8" t="s">
        <v>163</v>
      </c>
      <c r="B8" t="s">
        <v>48</v>
      </c>
      <c r="C8" t="s">
        <v>44</v>
      </c>
      <c r="D8">
        <v>0.75</v>
      </c>
      <c r="E8" t="s">
        <v>136</v>
      </c>
    </row>
    <row r="9" spans="1:5" x14ac:dyDescent="0.25">
      <c r="A9" t="s">
        <v>164</v>
      </c>
      <c r="B9" t="s">
        <v>48</v>
      </c>
      <c r="C9" t="s">
        <v>45</v>
      </c>
      <c r="D9">
        <v>1.1000000000000001</v>
      </c>
      <c r="E9" t="s">
        <v>136</v>
      </c>
    </row>
    <row r="10" spans="1:5" x14ac:dyDescent="0.25">
      <c r="A10" t="s">
        <v>165</v>
      </c>
      <c r="B10" t="s">
        <v>48</v>
      </c>
      <c r="C10" t="s">
        <v>46</v>
      </c>
      <c r="D10">
        <v>1.5</v>
      </c>
      <c r="E10" t="s">
        <v>136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E20D-0A14-4D92-862C-3E9850631EE8}">
  <dimension ref="A1:E10"/>
  <sheetViews>
    <sheetView workbookViewId="0"/>
  </sheetViews>
  <sheetFormatPr defaultRowHeight="15" x14ac:dyDescent="0.25"/>
  <cols>
    <col min="1" max="1" width="22" bestFit="1" customWidth="1"/>
    <col min="2" max="2" width="25.5703125" bestFit="1" customWidth="1"/>
    <col min="3" max="3" width="17.7109375" bestFit="1" customWidth="1"/>
    <col min="4" max="4" width="11.7109375" bestFit="1" customWidth="1"/>
    <col min="5" max="5" width="78" bestFit="1" customWidth="1"/>
  </cols>
  <sheetData>
    <row r="1" spans="1:5" ht="15.75" thickBot="1" x14ac:dyDescent="0.3">
      <c r="A1" s="1" t="s">
        <v>51</v>
      </c>
      <c r="B1" t="s">
        <v>52</v>
      </c>
      <c r="C1" t="s">
        <v>56</v>
      </c>
      <c r="D1" t="s">
        <v>42</v>
      </c>
      <c r="E1" t="s">
        <v>2</v>
      </c>
    </row>
    <row r="2" spans="1:5" ht="15.75" thickTop="1" x14ac:dyDescent="0.25">
      <c r="A2" t="s">
        <v>166</v>
      </c>
      <c r="B2" t="s">
        <v>53</v>
      </c>
      <c r="C2" t="s">
        <v>57</v>
      </c>
      <c r="D2">
        <v>0.75</v>
      </c>
      <c r="E2" t="s">
        <v>137</v>
      </c>
    </row>
    <row r="3" spans="1:5" x14ac:dyDescent="0.25">
      <c r="A3" t="s">
        <v>167</v>
      </c>
      <c r="B3" t="s">
        <v>53</v>
      </c>
      <c r="C3" t="s">
        <v>58</v>
      </c>
      <c r="D3">
        <v>0.9</v>
      </c>
      <c r="E3" t="s">
        <v>137</v>
      </c>
    </row>
    <row r="4" spans="1:5" x14ac:dyDescent="0.25">
      <c r="A4" t="s">
        <v>169</v>
      </c>
      <c r="B4" t="s">
        <v>53</v>
      </c>
      <c r="C4" t="s">
        <v>168</v>
      </c>
      <c r="D4">
        <v>1.1499999999999999</v>
      </c>
      <c r="E4" t="s">
        <v>137</v>
      </c>
    </row>
    <row r="5" spans="1:5" x14ac:dyDescent="0.25">
      <c r="A5" t="s">
        <v>170</v>
      </c>
      <c r="B5" t="s">
        <v>54</v>
      </c>
      <c r="C5" t="s">
        <v>57</v>
      </c>
      <c r="D5">
        <v>0.7</v>
      </c>
      <c r="E5" t="s">
        <v>137</v>
      </c>
    </row>
    <row r="6" spans="1:5" x14ac:dyDescent="0.25">
      <c r="A6" t="s">
        <v>171</v>
      </c>
      <c r="B6" t="s">
        <v>54</v>
      </c>
      <c r="C6" t="s">
        <v>58</v>
      </c>
      <c r="D6">
        <v>1.85</v>
      </c>
      <c r="E6" t="s">
        <v>137</v>
      </c>
    </row>
    <row r="7" spans="1:5" x14ac:dyDescent="0.25">
      <c r="A7" t="s">
        <v>172</v>
      </c>
      <c r="B7" t="s">
        <v>54</v>
      </c>
      <c r="C7" t="s">
        <v>168</v>
      </c>
      <c r="D7">
        <v>1.1000000000000001</v>
      </c>
      <c r="E7" t="s">
        <v>137</v>
      </c>
    </row>
    <row r="8" spans="1:5" x14ac:dyDescent="0.25">
      <c r="A8" t="s">
        <v>173</v>
      </c>
      <c r="B8" t="s">
        <v>55</v>
      </c>
      <c r="C8" t="s">
        <v>57</v>
      </c>
      <c r="D8">
        <v>0.65</v>
      </c>
      <c r="E8" t="s">
        <v>137</v>
      </c>
    </row>
    <row r="9" spans="1:5" x14ac:dyDescent="0.25">
      <c r="A9" t="s">
        <v>174</v>
      </c>
      <c r="B9" t="s">
        <v>55</v>
      </c>
      <c r="C9" t="s">
        <v>58</v>
      </c>
      <c r="D9">
        <v>0.8</v>
      </c>
      <c r="E9" t="s">
        <v>137</v>
      </c>
    </row>
    <row r="10" spans="1:5" x14ac:dyDescent="0.25">
      <c r="A10" t="s">
        <v>175</v>
      </c>
      <c r="B10" t="s">
        <v>55</v>
      </c>
      <c r="C10" t="s">
        <v>168</v>
      </c>
      <c r="D10">
        <v>1</v>
      </c>
      <c r="E10" t="s">
        <v>137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0E50-988C-4B0E-9138-D8AC78AF5F15}">
  <dimension ref="A1:E18"/>
  <sheetViews>
    <sheetView workbookViewId="0"/>
  </sheetViews>
  <sheetFormatPr defaultRowHeight="15" x14ac:dyDescent="0.25"/>
  <cols>
    <col min="1" max="1" width="24.7109375" bestFit="1" customWidth="1"/>
    <col min="2" max="2" width="10.7109375" bestFit="1" customWidth="1"/>
    <col min="3" max="3" width="11.140625" bestFit="1" customWidth="1"/>
    <col min="4" max="4" width="28.7109375" bestFit="1" customWidth="1"/>
    <col min="5" max="5" width="35.140625" bestFit="1" customWidth="1"/>
  </cols>
  <sheetData>
    <row r="1" spans="1:5" x14ac:dyDescent="0.25">
      <c r="A1" t="s">
        <v>79</v>
      </c>
      <c r="B1" t="s">
        <v>78</v>
      </c>
      <c r="C1" t="s">
        <v>59</v>
      </c>
      <c r="D1" t="s">
        <v>60</v>
      </c>
      <c r="E1" t="s">
        <v>2</v>
      </c>
    </row>
    <row r="2" spans="1:5" x14ac:dyDescent="0.25">
      <c r="A2" t="str">
        <f>CONCATENATE("Nov-25"," ",FXRates[[#This Row],[Currency]])</f>
        <v>Nov-25 USD</v>
      </c>
      <c r="B2" s="12">
        <v>45989</v>
      </c>
      <c r="C2" t="s">
        <v>61</v>
      </c>
      <c r="D2">
        <v>1</v>
      </c>
      <c r="E2" t="s">
        <v>135</v>
      </c>
    </row>
    <row r="3" spans="1:5" x14ac:dyDescent="0.25">
      <c r="A3" t="str">
        <f>CONCATENATE("Nov-25"," ",FXRates[[#This Row],[Currency]])</f>
        <v>Nov-25 INR</v>
      </c>
      <c r="B3" s="12">
        <v>45989</v>
      </c>
      <c r="C3" t="s">
        <v>62</v>
      </c>
      <c r="D3">
        <v>85</v>
      </c>
      <c r="E3" t="s">
        <v>135</v>
      </c>
    </row>
    <row r="4" spans="1:5" x14ac:dyDescent="0.25">
      <c r="A4" t="str">
        <f>CONCATENATE("Nov-25"," ",FXRates[[#This Row],[Currency]])</f>
        <v>Nov-25 SAR</v>
      </c>
      <c r="B4" s="12">
        <v>45989</v>
      </c>
      <c r="C4" t="s">
        <v>63</v>
      </c>
      <c r="D4">
        <v>3.75</v>
      </c>
      <c r="E4" t="s">
        <v>135</v>
      </c>
    </row>
    <row r="5" spans="1:5" x14ac:dyDescent="0.25">
      <c r="A5" t="str">
        <f>CONCATENATE("Nov-25"," ",FXRates[[#This Row],[Currency]])</f>
        <v>Nov-25 AED</v>
      </c>
      <c r="B5" s="12">
        <v>45989</v>
      </c>
      <c r="C5" t="s">
        <v>64</v>
      </c>
      <c r="D5">
        <v>3.67</v>
      </c>
      <c r="E5" t="s">
        <v>135</v>
      </c>
    </row>
    <row r="6" spans="1:5" x14ac:dyDescent="0.25">
      <c r="A6" t="str">
        <f>CONCATENATE("Nov-25"," ",FXRates[[#This Row],[Currency]])</f>
        <v>Nov-25 GBP</v>
      </c>
      <c r="B6" s="12">
        <v>45989</v>
      </c>
      <c r="C6" t="s">
        <v>65</v>
      </c>
      <c r="D6">
        <v>0.78</v>
      </c>
      <c r="E6" t="s">
        <v>135</v>
      </c>
    </row>
    <row r="7" spans="1:5" x14ac:dyDescent="0.25">
      <c r="A7" t="str">
        <f>CONCATENATE("Nov-25"," ",FXRates[[#This Row],[Currency]])</f>
        <v>Nov-25 EUR</v>
      </c>
      <c r="B7" s="12">
        <v>45989</v>
      </c>
      <c r="C7" t="s">
        <v>66</v>
      </c>
      <c r="D7">
        <v>0.92</v>
      </c>
      <c r="E7" t="s">
        <v>135</v>
      </c>
    </row>
    <row r="8" spans="1:5" x14ac:dyDescent="0.25">
      <c r="A8" t="str">
        <f>CONCATENATE("Nov-25"," ",FXRates[[#This Row],[Currency]])</f>
        <v>Nov-25 AUD</v>
      </c>
      <c r="B8" s="12">
        <v>45989</v>
      </c>
      <c r="C8" t="s">
        <v>67</v>
      </c>
      <c r="D8">
        <v>1.55</v>
      </c>
      <c r="E8" t="s">
        <v>135</v>
      </c>
    </row>
    <row r="9" spans="1:5" x14ac:dyDescent="0.25">
      <c r="A9" t="str">
        <f>CONCATENATE("Nov-25"," ",FXRates[[#This Row],[Currency]])</f>
        <v>Nov-25 NZD</v>
      </c>
      <c r="B9" s="12">
        <v>45989</v>
      </c>
      <c r="C9" t="s">
        <v>68</v>
      </c>
      <c r="D9">
        <v>1.7</v>
      </c>
      <c r="E9" t="s">
        <v>135</v>
      </c>
    </row>
    <row r="10" spans="1:5" x14ac:dyDescent="0.25">
      <c r="A10" t="str">
        <f>CONCATENATE("Nov-25"," ",FXRates[[#This Row],[Currency]])</f>
        <v>Nov-25 SGD</v>
      </c>
      <c r="B10" s="12">
        <v>45989</v>
      </c>
      <c r="C10" t="s">
        <v>69</v>
      </c>
      <c r="D10">
        <v>1.35</v>
      </c>
      <c r="E10" t="s">
        <v>135</v>
      </c>
    </row>
    <row r="11" spans="1:5" x14ac:dyDescent="0.25">
      <c r="A11" t="str">
        <f>CONCATENATE("Nov-25"," ",FXRates[[#This Row],[Currency]])</f>
        <v>Nov-25 MXN</v>
      </c>
      <c r="B11" s="12">
        <v>45989</v>
      </c>
      <c r="C11" t="s">
        <v>70</v>
      </c>
      <c r="D11">
        <v>17</v>
      </c>
      <c r="E11" t="s">
        <v>135</v>
      </c>
    </row>
    <row r="12" spans="1:5" x14ac:dyDescent="0.25">
      <c r="A12" t="str">
        <f>CONCATENATE("Nov-25"," ",FXRates[[#This Row],[Currency]])</f>
        <v>Nov-25 ZAR</v>
      </c>
      <c r="B12" s="12">
        <v>45989</v>
      </c>
      <c r="C12" t="s">
        <v>71</v>
      </c>
      <c r="D12">
        <v>18.5</v>
      </c>
      <c r="E12" t="s">
        <v>135</v>
      </c>
    </row>
    <row r="13" spans="1:5" x14ac:dyDescent="0.25">
      <c r="A13" t="str">
        <f>CONCATENATE("Nov-25"," ",FXRates[[#This Row],[Currency]])</f>
        <v>Nov-25 MYR</v>
      </c>
      <c r="B13" s="12">
        <v>45989</v>
      </c>
      <c r="C13" t="s">
        <v>72</v>
      </c>
      <c r="D13">
        <v>4.7</v>
      </c>
      <c r="E13" t="s">
        <v>135</v>
      </c>
    </row>
    <row r="14" spans="1:5" x14ac:dyDescent="0.25">
      <c r="A14" t="str">
        <f>CONCATENATE("Nov-25"," ",FXRates[[#This Row],[Currency]])</f>
        <v>Nov-25 CAD</v>
      </c>
      <c r="B14" s="12">
        <v>45989</v>
      </c>
      <c r="C14" t="s">
        <v>73</v>
      </c>
      <c r="D14">
        <v>1.35</v>
      </c>
      <c r="E14" t="s">
        <v>135</v>
      </c>
    </row>
    <row r="15" spans="1:5" x14ac:dyDescent="0.25">
      <c r="A15" t="str">
        <f>CONCATENATE("Nov-25"," ",FXRates[[#This Row],[Currency]])</f>
        <v>Nov-25 CNY</v>
      </c>
      <c r="B15" s="12">
        <v>45989</v>
      </c>
      <c r="C15" t="s">
        <v>74</v>
      </c>
      <c r="D15">
        <v>7.2</v>
      </c>
      <c r="E15" t="s">
        <v>135</v>
      </c>
    </row>
    <row r="16" spans="1:5" x14ac:dyDescent="0.25">
      <c r="A16" t="str">
        <f>CONCATENATE("Nov-25"," ",FXRates[[#This Row],[Currency]])</f>
        <v>Nov-25 BRL</v>
      </c>
      <c r="B16" s="12">
        <v>45989</v>
      </c>
      <c r="C16" t="s">
        <v>75</v>
      </c>
      <c r="D16">
        <v>5</v>
      </c>
      <c r="E16" t="s">
        <v>135</v>
      </c>
    </row>
    <row r="17" spans="1:5" x14ac:dyDescent="0.25">
      <c r="A17" t="str">
        <f>CONCATENATE("Nov-25"," ",FXRates[[#This Row],[Currency]])</f>
        <v>Nov-25 JPY</v>
      </c>
      <c r="B17" s="12">
        <v>45989</v>
      </c>
      <c r="C17" t="s">
        <v>76</v>
      </c>
      <c r="D17">
        <v>150</v>
      </c>
      <c r="E17" t="s">
        <v>135</v>
      </c>
    </row>
    <row r="18" spans="1:5" x14ac:dyDescent="0.25">
      <c r="A18" t="str">
        <f>CONCATENATE("Nov-25"," ",FXRates[[#This Row],[Currency]])</f>
        <v>Nov-25 ARS</v>
      </c>
      <c r="B18" s="12">
        <v>45989</v>
      </c>
      <c r="C18" t="s">
        <v>77</v>
      </c>
      <c r="D18">
        <v>350</v>
      </c>
      <c r="E18" t="s">
        <v>135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5464-DEEA-4C5B-98D1-4E48B2115751}">
  <dimension ref="A1:C15"/>
  <sheetViews>
    <sheetView workbookViewId="0"/>
  </sheetViews>
  <sheetFormatPr defaultRowHeight="15" x14ac:dyDescent="0.25"/>
  <cols>
    <col min="1" max="1" width="18.5703125" customWidth="1"/>
    <col min="2" max="2" width="13.140625" customWidth="1"/>
    <col min="3" max="3" width="43" bestFit="1" customWidth="1"/>
  </cols>
  <sheetData>
    <row r="1" spans="1:3" x14ac:dyDescent="0.25">
      <c r="A1" t="s">
        <v>118</v>
      </c>
      <c r="B1" t="s">
        <v>127</v>
      </c>
      <c r="C1" t="s">
        <v>2</v>
      </c>
    </row>
    <row r="2" spans="1:3" x14ac:dyDescent="0.25">
      <c r="A2" t="s">
        <v>119</v>
      </c>
      <c r="B2">
        <v>1</v>
      </c>
      <c r="C2" t="s">
        <v>134</v>
      </c>
    </row>
    <row r="3" spans="1:3" x14ac:dyDescent="0.25">
      <c r="A3" t="s">
        <v>120</v>
      </c>
      <c r="B3">
        <v>8</v>
      </c>
      <c r="C3" t="s">
        <v>134</v>
      </c>
    </row>
    <row r="4" spans="1:3" x14ac:dyDescent="0.25">
      <c r="A4" t="s">
        <v>128</v>
      </c>
      <c r="B4">
        <f>19*8</f>
        <v>152</v>
      </c>
      <c r="C4" t="s">
        <v>134</v>
      </c>
    </row>
    <row r="5" spans="1:3" x14ac:dyDescent="0.25">
      <c r="A5" t="s">
        <v>129</v>
      </c>
      <c r="B5">
        <f>20*8</f>
        <v>160</v>
      </c>
      <c r="C5" t="s">
        <v>134</v>
      </c>
    </row>
    <row r="6" spans="1:3" x14ac:dyDescent="0.25">
      <c r="A6" t="s">
        <v>130</v>
      </c>
      <c r="B6">
        <f>18*8</f>
        <v>144</v>
      </c>
      <c r="C6" t="s">
        <v>134</v>
      </c>
    </row>
    <row r="7" spans="1:3" x14ac:dyDescent="0.25">
      <c r="A7" t="s">
        <v>121</v>
      </c>
      <c r="B7">
        <f>7*8</f>
        <v>56</v>
      </c>
      <c r="C7" t="s">
        <v>134</v>
      </c>
    </row>
    <row r="8" spans="1:3" x14ac:dyDescent="0.25">
      <c r="A8" t="s">
        <v>122</v>
      </c>
      <c r="B8">
        <f>14*8</f>
        <v>112</v>
      </c>
      <c r="C8" t="s">
        <v>134</v>
      </c>
    </row>
    <row r="9" spans="1:3" x14ac:dyDescent="0.25">
      <c r="A9" t="s">
        <v>123</v>
      </c>
      <c r="B9">
        <f>6*8</f>
        <v>48</v>
      </c>
      <c r="C9" t="s">
        <v>134</v>
      </c>
    </row>
    <row r="10" spans="1:3" x14ac:dyDescent="0.25">
      <c r="A10" t="s">
        <v>131</v>
      </c>
      <c r="B10">
        <f>12*8</f>
        <v>96</v>
      </c>
      <c r="C10" t="s">
        <v>134</v>
      </c>
    </row>
    <row r="11" spans="1:3" x14ac:dyDescent="0.25">
      <c r="A11" t="s">
        <v>132</v>
      </c>
      <c r="B11">
        <f>5*8</f>
        <v>40</v>
      </c>
      <c r="C11" t="s">
        <v>134</v>
      </c>
    </row>
    <row r="12" spans="1:3" x14ac:dyDescent="0.25">
      <c r="A12" t="s">
        <v>133</v>
      </c>
      <c r="B12">
        <f>10*8</f>
        <v>80</v>
      </c>
      <c r="C12" t="s">
        <v>134</v>
      </c>
    </row>
    <row r="13" spans="1:3" x14ac:dyDescent="0.25">
      <c r="A13" t="s">
        <v>124</v>
      </c>
      <c r="B13">
        <f>30*8</f>
        <v>240</v>
      </c>
      <c r="C13" t="s">
        <v>134</v>
      </c>
    </row>
    <row r="14" spans="1:3" x14ac:dyDescent="0.25">
      <c r="A14" t="s">
        <v>125</v>
      </c>
      <c r="B14">
        <f>45*8</f>
        <v>360</v>
      </c>
      <c r="C14" t="s">
        <v>134</v>
      </c>
    </row>
    <row r="15" spans="1:3" x14ac:dyDescent="0.25">
      <c r="A15" t="s">
        <v>126</v>
      </c>
      <c r="B15">
        <f>60*8</f>
        <v>480</v>
      </c>
      <c r="C15" t="s">
        <v>134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73F1-F7F5-4F89-B32E-97FAC53D0F9D}">
  <dimension ref="A1:D7"/>
  <sheetViews>
    <sheetView workbookViewId="0"/>
  </sheetViews>
  <sheetFormatPr defaultRowHeight="15" x14ac:dyDescent="0.25"/>
  <cols>
    <col min="1" max="1" width="5.140625" bestFit="1" customWidth="1"/>
    <col min="2" max="2" width="20.42578125" bestFit="1" customWidth="1"/>
    <col min="3" max="3" width="13.28515625" bestFit="1" customWidth="1"/>
    <col min="4" max="4" width="90" bestFit="1" customWidth="1"/>
  </cols>
  <sheetData>
    <row r="1" spans="1:4" ht="15.75" thickBot="1" x14ac:dyDescent="0.3">
      <c r="A1" s="2" t="s">
        <v>6300</v>
      </c>
      <c r="B1" s="1" t="s">
        <v>138</v>
      </c>
      <c r="C1" s="2" t="s">
        <v>127</v>
      </c>
      <c r="D1" s="3" t="s">
        <v>2</v>
      </c>
    </row>
    <row r="2" spans="1:4" ht="15.75" thickTop="1" x14ac:dyDescent="0.25">
      <c r="A2" t="s">
        <v>6235</v>
      </c>
      <c r="B2" t="s">
        <v>139</v>
      </c>
      <c r="C2">
        <v>1</v>
      </c>
      <c r="D2" t="s">
        <v>144</v>
      </c>
    </row>
    <row r="3" spans="1:4" x14ac:dyDescent="0.25">
      <c r="A3" t="s">
        <v>6236</v>
      </c>
      <c r="B3" t="s">
        <v>140</v>
      </c>
      <c r="C3">
        <v>0.9</v>
      </c>
      <c r="D3" t="s">
        <v>145</v>
      </c>
    </row>
    <row r="4" spans="1:4" x14ac:dyDescent="0.25">
      <c r="A4" t="s">
        <v>6237</v>
      </c>
      <c r="B4" t="s">
        <v>141</v>
      </c>
      <c r="C4">
        <v>1.05</v>
      </c>
      <c r="D4" t="s">
        <v>146</v>
      </c>
    </row>
    <row r="5" spans="1:4" x14ac:dyDescent="0.25">
      <c r="A5" t="s">
        <v>6238</v>
      </c>
      <c r="B5" t="s">
        <v>142</v>
      </c>
      <c r="C5">
        <v>1.2</v>
      </c>
      <c r="D5" t="s">
        <v>147</v>
      </c>
    </row>
    <row r="6" spans="1:4" x14ac:dyDescent="0.25">
      <c r="A6" t="s">
        <v>6239</v>
      </c>
      <c r="B6" t="s">
        <v>143</v>
      </c>
      <c r="C6">
        <v>1.35</v>
      </c>
      <c r="D6" t="s">
        <v>148</v>
      </c>
    </row>
    <row r="7" spans="1:4" x14ac:dyDescent="0.25">
      <c r="A7" t="s">
        <v>6240</v>
      </c>
      <c r="B7" t="s">
        <v>155</v>
      </c>
      <c r="C7">
        <v>0.85</v>
      </c>
      <c r="D7" t="s">
        <v>156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78A0-891E-463A-9849-FC15C894077F}">
  <dimension ref="A1:D4"/>
  <sheetViews>
    <sheetView workbookViewId="0"/>
  </sheetViews>
  <sheetFormatPr defaultRowHeight="15" x14ac:dyDescent="0.25"/>
  <cols>
    <col min="2" max="2" width="14.140625" customWidth="1"/>
    <col min="3" max="3" width="13.140625" customWidth="1"/>
    <col min="4" max="4" width="44.85546875" bestFit="1" customWidth="1"/>
  </cols>
  <sheetData>
    <row r="1" spans="1:4" ht="15.75" thickBot="1" x14ac:dyDescent="0.3">
      <c r="A1" s="2" t="s">
        <v>6301</v>
      </c>
      <c r="B1" s="2" t="s">
        <v>150</v>
      </c>
      <c r="C1" s="2" t="s">
        <v>127</v>
      </c>
      <c r="D1" s="3" t="s">
        <v>2</v>
      </c>
    </row>
    <row r="2" spans="1:4" ht="15.75" thickTop="1" x14ac:dyDescent="0.25">
      <c r="A2" s="4" t="s">
        <v>151</v>
      </c>
      <c r="B2" s="5" t="s">
        <v>44</v>
      </c>
      <c r="C2" s="13">
        <v>0.3</v>
      </c>
      <c r="D2" s="6" t="s">
        <v>154</v>
      </c>
    </row>
    <row r="3" spans="1:4" x14ac:dyDescent="0.25">
      <c r="A3" s="7" t="s">
        <v>152</v>
      </c>
      <c r="B3" s="8" t="s">
        <v>45</v>
      </c>
      <c r="C3" s="14">
        <v>0.5</v>
      </c>
      <c r="D3" s="14" t="s">
        <v>154</v>
      </c>
    </row>
    <row r="4" spans="1:4" x14ac:dyDescent="0.25">
      <c r="A4" s="9" t="s">
        <v>153</v>
      </c>
      <c r="B4" s="10" t="s">
        <v>46</v>
      </c>
      <c r="C4" s="15">
        <v>0.2</v>
      </c>
      <c r="D4" s="11" t="s">
        <v>154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A926-A210-4EC9-BE8D-1387D45D563F}">
  <dimension ref="A1:D1002"/>
  <sheetViews>
    <sheetView workbookViewId="0"/>
  </sheetViews>
  <sheetFormatPr defaultRowHeight="15" x14ac:dyDescent="0.25"/>
  <cols>
    <col min="1" max="1" width="7.42578125" bestFit="1" customWidth="1"/>
    <col min="2" max="2" width="19.140625" bestFit="1" customWidth="1"/>
    <col min="3" max="3" width="11" bestFit="1" customWidth="1"/>
    <col min="4" max="4" width="25.5703125" bestFit="1" customWidth="1"/>
  </cols>
  <sheetData>
    <row r="1" spans="1:4" ht="15.75" thickBot="1" x14ac:dyDescent="0.3">
      <c r="A1" s="2" t="s">
        <v>6302</v>
      </c>
      <c r="B1" s="1" t="s">
        <v>177</v>
      </c>
      <c r="C1" s="2" t="s">
        <v>178</v>
      </c>
      <c r="D1" s="3" t="s">
        <v>2</v>
      </c>
    </row>
    <row r="2" spans="1:4" ht="15.75" thickTop="1" x14ac:dyDescent="0.25">
      <c r="A2" t="s">
        <v>176</v>
      </c>
      <c r="B2" t="s">
        <v>279</v>
      </c>
      <c r="C2">
        <v>0</v>
      </c>
      <c r="D2" t="s">
        <v>4204</v>
      </c>
    </row>
    <row r="3" spans="1:4" x14ac:dyDescent="0.25">
      <c r="A3" t="s">
        <v>179</v>
      </c>
      <c r="B3" t="s">
        <v>280</v>
      </c>
      <c r="C3">
        <v>1E-3</v>
      </c>
      <c r="D3" t="s">
        <v>4204</v>
      </c>
    </row>
    <row r="4" spans="1:4" x14ac:dyDescent="0.25">
      <c r="A4" t="s">
        <v>180</v>
      </c>
      <c r="B4" t="s">
        <v>281</v>
      </c>
      <c r="C4">
        <v>2E-3</v>
      </c>
      <c r="D4" t="s">
        <v>4204</v>
      </c>
    </row>
    <row r="5" spans="1:4" x14ac:dyDescent="0.25">
      <c r="A5" t="s">
        <v>181</v>
      </c>
      <c r="B5" t="s">
        <v>282</v>
      </c>
      <c r="C5">
        <v>3.0000000000000001E-3</v>
      </c>
      <c r="D5" t="s">
        <v>4204</v>
      </c>
    </row>
    <row r="6" spans="1:4" x14ac:dyDescent="0.25">
      <c r="A6" t="s">
        <v>182</v>
      </c>
      <c r="B6" t="s">
        <v>283</v>
      </c>
      <c r="C6">
        <v>4.0000000000000001E-3</v>
      </c>
      <c r="D6" t="s">
        <v>4204</v>
      </c>
    </row>
    <row r="7" spans="1:4" x14ac:dyDescent="0.25">
      <c r="A7" t="s">
        <v>183</v>
      </c>
      <c r="B7" t="s">
        <v>284</v>
      </c>
      <c r="C7">
        <v>5.0000000000000001E-3</v>
      </c>
      <c r="D7" t="s">
        <v>4204</v>
      </c>
    </row>
    <row r="8" spans="1:4" x14ac:dyDescent="0.25">
      <c r="A8" t="s">
        <v>184</v>
      </c>
      <c r="B8" t="s">
        <v>285</v>
      </c>
      <c r="C8">
        <v>6.0000000000000001E-3</v>
      </c>
      <c r="D8" t="s">
        <v>4204</v>
      </c>
    </row>
    <row r="9" spans="1:4" x14ac:dyDescent="0.25">
      <c r="A9" t="s">
        <v>185</v>
      </c>
      <c r="B9" t="s">
        <v>286</v>
      </c>
      <c r="C9">
        <v>7.0000000000000001E-3</v>
      </c>
      <c r="D9" t="s">
        <v>4204</v>
      </c>
    </row>
    <row r="10" spans="1:4" x14ac:dyDescent="0.25">
      <c r="A10" t="s">
        <v>186</v>
      </c>
      <c r="B10" t="s">
        <v>287</v>
      </c>
      <c r="C10">
        <v>8.0000000000000002E-3</v>
      </c>
      <c r="D10" t="s">
        <v>4204</v>
      </c>
    </row>
    <row r="11" spans="1:4" x14ac:dyDescent="0.25">
      <c r="A11" t="s">
        <v>187</v>
      </c>
      <c r="B11" t="s">
        <v>288</v>
      </c>
      <c r="C11">
        <v>8.9999999999999993E-3</v>
      </c>
      <c r="D11" t="s">
        <v>4204</v>
      </c>
    </row>
    <row r="12" spans="1:4" x14ac:dyDescent="0.25">
      <c r="A12" t="s">
        <v>188</v>
      </c>
      <c r="B12" t="s">
        <v>289</v>
      </c>
      <c r="C12">
        <v>0.01</v>
      </c>
      <c r="D12" t="s">
        <v>4204</v>
      </c>
    </row>
    <row r="13" spans="1:4" x14ac:dyDescent="0.25">
      <c r="A13" t="s">
        <v>189</v>
      </c>
      <c r="B13" t="s">
        <v>290</v>
      </c>
      <c r="C13">
        <v>1.0999999999999999E-2</v>
      </c>
      <c r="D13" t="s">
        <v>4204</v>
      </c>
    </row>
    <row r="14" spans="1:4" x14ac:dyDescent="0.25">
      <c r="A14" t="s">
        <v>190</v>
      </c>
      <c r="B14" t="s">
        <v>291</v>
      </c>
      <c r="C14">
        <v>1.2E-2</v>
      </c>
      <c r="D14" t="s">
        <v>4204</v>
      </c>
    </row>
    <row r="15" spans="1:4" x14ac:dyDescent="0.25">
      <c r="A15" t="s">
        <v>191</v>
      </c>
      <c r="B15" t="s">
        <v>292</v>
      </c>
      <c r="C15">
        <v>1.2999999999999999E-2</v>
      </c>
      <c r="D15" t="s">
        <v>4204</v>
      </c>
    </row>
    <row r="16" spans="1:4" x14ac:dyDescent="0.25">
      <c r="A16" t="s">
        <v>192</v>
      </c>
      <c r="B16" t="s">
        <v>293</v>
      </c>
      <c r="C16">
        <v>1.4E-2</v>
      </c>
      <c r="D16" t="s">
        <v>4204</v>
      </c>
    </row>
    <row r="17" spans="1:4" x14ac:dyDescent="0.25">
      <c r="A17" t="s">
        <v>193</v>
      </c>
      <c r="B17" t="s">
        <v>294</v>
      </c>
      <c r="C17">
        <v>1.4999999999999999E-2</v>
      </c>
      <c r="D17" t="s">
        <v>4204</v>
      </c>
    </row>
    <row r="18" spans="1:4" x14ac:dyDescent="0.25">
      <c r="A18" t="s">
        <v>194</v>
      </c>
      <c r="B18" t="s">
        <v>295</v>
      </c>
      <c r="C18">
        <v>1.6E-2</v>
      </c>
      <c r="D18" t="s">
        <v>4204</v>
      </c>
    </row>
    <row r="19" spans="1:4" x14ac:dyDescent="0.25">
      <c r="A19" t="s">
        <v>195</v>
      </c>
      <c r="B19" t="s">
        <v>296</v>
      </c>
      <c r="C19">
        <v>1.7000000000000001E-2</v>
      </c>
      <c r="D19" t="s">
        <v>4204</v>
      </c>
    </row>
    <row r="20" spans="1:4" x14ac:dyDescent="0.25">
      <c r="A20" t="s">
        <v>196</v>
      </c>
      <c r="B20" t="s">
        <v>297</v>
      </c>
      <c r="C20">
        <v>1.7999999999999999E-2</v>
      </c>
      <c r="D20" t="s">
        <v>4204</v>
      </c>
    </row>
    <row r="21" spans="1:4" x14ac:dyDescent="0.25">
      <c r="A21" t="s">
        <v>197</v>
      </c>
      <c r="B21" t="s">
        <v>298</v>
      </c>
      <c r="C21">
        <v>1.9E-2</v>
      </c>
      <c r="D21" t="s">
        <v>4204</v>
      </c>
    </row>
    <row r="22" spans="1:4" x14ac:dyDescent="0.25">
      <c r="A22" t="s">
        <v>198</v>
      </c>
      <c r="B22" t="s">
        <v>299</v>
      </c>
      <c r="C22">
        <v>0.02</v>
      </c>
      <c r="D22" t="s">
        <v>4204</v>
      </c>
    </row>
    <row r="23" spans="1:4" x14ac:dyDescent="0.25">
      <c r="A23" t="s">
        <v>199</v>
      </c>
      <c r="B23" t="s">
        <v>300</v>
      </c>
      <c r="C23">
        <v>2.1000000000000001E-2</v>
      </c>
      <c r="D23" t="s">
        <v>4204</v>
      </c>
    </row>
    <row r="24" spans="1:4" x14ac:dyDescent="0.25">
      <c r="A24" t="s">
        <v>200</v>
      </c>
      <c r="B24" t="s">
        <v>301</v>
      </c>
      <c r="C24">
        <v>2.1999999999999999E-2</v>
      </c>
      <c r="D24" t="s">
        <v>4204</v>
      </c>
    </row>
    <row r="25" spans="1:4" x14ac:dyDescent="0.25">
      <c r="A25" t="s">
        <v>201</v>
      </c>
      <c r="B25" t="s">
        <v>302</v>
      </c>
      <c r="C25">
        <v>2.3E-2</v>
      </c>
      <c r="D25" t="s">
        <v>4204</v>
      </c>
    </row>
    <row r="26" spans="1:4" x14ac:dyDescent="0.25">
      <c r="A26" t="s">
        <v>202</v>
      </c>
      <c r="B26" t="s">
        <v>303</v>
      </c>
      <c r="C26">
        <v>2.4E-2</v>
      </c>
      <c r="D26" t="s">
        <v>4204</v>
      </c>
    </row>
    <row r="27" spans="1:4" x14ac:dyDescent="0.25">
      <c r="A27" t="s">
        <v>203</v>
      </c>
      <c r="B27" t="s">
        <v>304</v>
      </c>
      <c r="C27">
        <v>2.5000000000000001E-2</v>
      </c>
      <c r="D27" t="s">
        <v>4204</v>
      </c>
    </row>
    <row r="28" spans="1:4" x14ac:dyDescent="0.25">
      <c r="A28" t="s">
        <v>204</v>
      </c>
      <c r="B28" t="s">
        <v>305</v>
      </c>
      <c r="C28">
        <v>2.5999999999999999E-2</v>
      </c>
      <c r="D28" t="s">
        <v>4204</v>
      </c>
    </row>
    <row r="29" spans="1:4" x14ac:dyDescent="0.25">
      <c r="A29" t="s">
        <v>205</v>
      </c>
      <c r="B29" t="s">
        <v>306</v>
      </c>
      <c r="C29">
        <v>2.7E-2</v>
      </c>
      <c r="D29" t="s">
        <v>4204</v>
      </c>
    </row>
    <row r="30" spans="1:4" x14ac:dyDescent="0.25">
      <c r="A30" t="s">
        <v>206</v>
      </c>
      <c r="B30" t="s">
        <v>307</v>
      </c>
      <c r="C30">
        <v>2.8000000000000001E-2</v>
      </c>
      <c r="D30" t="s">
        <v>4204</v>
      </c>
    </row>
    <row r="31" spans="1:4" x14ac:dyDescent="0.25">
      <c r="A31" t="s">
        <v>207</v>
      </c>
      <c r="B31" t="s">
        <v>308</v>
      </c>
      <c r="C31">
        <v>2.9000000000000001E-2</v>
      </c>
      <c r="D31" t="s">
        <v>4204</v>
      </c>
    </row>
    <row r="32" spans="1:4" x14ac:dyDescent="0.25">
      <c r="A32" t="s">
        <v>208</v>
      </c>
      <c r="B32" t="s">
        <v>309</v>
      </c>
      <c r="C32">
        <v>0.03</v>
      </c>
      <c r="D32" t="s">
        <v>4204</v>
      </c>
    </row>
    <row r="33" spans="1:4" x14ac:dyDescent="0.25">
      <c r="A33" t="s">
        <v>209</v>
      </c>
      <c r="B33" t="s">
        <v>310</v>
      </c>
      <c r="C33">
        <v>3.1E-2</v>
      </c>
      <c r="D33" t="s">
        <v>4204</v>
      </c>
    </row>
    <row r="34" spans="1:4" x14ac:dyDescent="0.25">
      <c r="A34" t="s">
        <v>210</v>
      </c>
      <c r="B34" t="s">
        <v>311</v>
      </c>
      <c r="C34">
        <v>3.2000000000000001E-2</v>
      </c>
      <c r="D34" t="s">
        <v>4204</v>
      </c>
    </row>
    <row r="35" spans="1:4" x14ac:dyDescent="0.25">
      <c r="A35" t="s">
        <v>211</v>
      </c>
      <c r="B35" t="s">
        <v>312</v>
      </c>
      <c r="C35">
        <v>3.3000000000000002E-2</v>
      </c>
      <c r="D35" t="s">
        <v>4204</v>
      </c>
    </row>
    <row r="36" spans="1:4" x14ac:dyDescent="0.25">
      <c r="A36" t="s">
        <v>212</v>
      </c>
      <c r="B36" t="s">
        <v>313</v>
      </c>
      <c r="C36">
        <v>3.4000000000000002E-2</v>
      </c>
      <c r="D36" t="s">
        <v>4204</v>
      </c>
    </row>
    <row r="37" spans="1:4" x14ac:dyDescent="0.25">
      <c r="A37" t="s">
        <v>213</v>
      </c>
      <c r="B37" t="s">
        <v>314</v>
      </c>
      <c r="C37">
        <v>3.5000000000000003E-2</v>
      </c>
      <c r="D37" t="s">
        <v>4204</v>
      </c>
    </row>
    <row r="38" spans="1:4" x14ac:dyDescent="0.25">
      <c r="A38" t="s">
        <v>214</v>
      </c>
      <c r="B38" t="s">
        <v>315</v>
      </c>
      <c r="C38">
        <v>3.5999999999999997E-2</v>
      </c>
      <c r="D38" t="s">
        <v>4204</v>
      </c>
    </row>
    <row r="39" spans="1:4" x14ac:dyDescent="0.25">
      <c r="A39" t="s">
        <v>215</v>
      </c>
      <c r="B39" t="s">
        <v>316</v>
      </c>
      <c r="C39">
        <v>3.6999999999999998E-2</v>
      </c>
      <c r="D39" t="s">
        <v>4204</v>
      </c>
    </row>
    <row r="40" spans="1:4" x14ac:dyDescent="0.25">
      <c r="A40" t="s">
        <v>216</v>
      </c>
      <c r="B40" t="s">
        <v>317</v>
      </c>
      <c r="C40">
        <v>3.7999999999999999E-2</v>
      </c>
      <c r="D40" t="s">
        <v>4204</v>
      </c>
    </row>
    <row r="41" spans="1:4" x14ac:dyDescent="0.25">
      <c r="A41" t="s">
        <v>217</v>
      </c>
      <c r="B41" t="s">
        <v>318</v>
      </c>
      <c r="C41">
        <v>3.9E-2</v>
      </c>
      <c r="D41" t="s">
        <v>4204</v>
      </c>
    </row>
    <row r="42" spans="1:4" x14ac:dyDescent="0.25">
      <c r="A42" t="s">
        <v>218</v>
      </c>
      <c r="B42" t="s">
        <v>319</v>
      </c>
      <c r="C42">
        <v>0.04</v>
      </c>
      <c r="D42" t="s">
        <v>4204</v>
      </c>
    </row>
    <row r="43" spans="1:4" x14ac:dyDescent="0.25">
      <c r="A43" t="s">
        <v>219</v>
      </c>
      <c r="B43" t="s">
        <v>320</v>
      </c>
      <c r="C43">
        <v>4.1000000000000002E-2</v>
      </c>
      <c r="D43" t="s">
        <v>4204</v>
      </c>
    </row>
    <row r="44" spans="1:4" x14ac:dyDescent="0.25">
      <c r="A44" t="s">
        <v>220</v>
      </c>
      <c r="B44" t="s">
        <v>321</v>
      </c>
      <c r="C44">
        <v>4.2000000000000003E-2</v>
      </c>
      <c r="D44" t="s">
        <v>4204</v>
      </c>
    </row>
    <row r="45" spans="1:4" x14ac:dyDescent="0.25">
      <c r="A45" t="s">
        <v>221</v>
      </c>
      <c r="B45" t="s">
        <v>322</v>
      </c>
      <c r="C45">
        <v>4.2999999999999997E-2</v>
      </c>
      <c r="D45" t="s">
        <v>4204</v>
      </c>
    </row>
    <row r="46" spans="1:4" x14ac:dyDescent="0.25">
      <c r="A46" t="s">
        <v>222</v>
      </c>
      <c r="B46" t="s">
        <v>323</v>
      </c>
      <c r="C46">
        <v>4.3999999999999997E-2</v>
      </c>
      <c r="D46" t="s">
        <v>4204</v>
      </c>
    </row>
    <row r="47" spans="1:4" x14ac:dyDescent="0.25">
      <c r="A47" t="s">
        <v>223</v>
      </c>
      <c r="B47" t="s">
        <v>324</v>
      </c>
      <c r="C47">
        <v>4.4999999999999998E-2</v>
      </c>
      <c r="D47" t="s">
        <v>4204</v>
      </c>
    </row>
    <row r="48" spans="1:4" x14ac:dyDescent="0.25">
      <c r="A48" t="s">
        <v>224</v>
      </c>
      <c r="B48" t="s">
        <v>325</v>
      </c>
      <c r="C48">
        <v>4.5999999999999999E-2</v>
      </c>
      <c r="D48" t="s">
        <v>4204</v>
      </c>
    </row>
    <row r="49" spans="1:4" x14ac:dyDescent="0.25">
      <c r="A49" t="s">
        <v>225</v>
      </c>
      <c r="B49" t="s">
        <v>326</v>
      </c>
      <c r="C49">
        <v>4.7E-2</v>
      </c>
      <c r="D49" t="s">
        <v>4204</v>
      </c>
    </row>
    <row r="50" spans="1:4" x14ac:dyDescent="0.25">
      <c r="A50" t="s">
        <v>226</v>
      </c>
      <c r="B50" t="s">
        <v>327</v>
      </c>
      <c r="C50">
        <v>4.8000000000000001E-2</v>
      </c>
      <c r="D50" t="s">
        <v>4204</v>
      </c>
    </row>
    <row r="51" spans="1:4" x14ac:dyDescent="0.25">
      <c r="A51" t="s">
        <v>227</v>
      </c>
      <c r="B51" t="s">
        <v>328</v>
      </c>
      <c r="C51">
        <v>4.9000000000000002E-2</v>
      </c>
      <c r="D51" t="s">
        <v>4204</v>
      </c>
    </row>
    <row r="52" spans="1:4" x14ac:dyDescent="0.25">
      <c r="A52" t="s">
        <v>228</v>
      </c>
      <c r="B52" t="s">
        <v>329</v>
      </c>
      <c r="C52">
        <v>0.05</v>
      </c>
      <c r="D52" t="s">
        <v>4204</v>
      </c>
    </row>
    <row r="53" spans="1:4" x14ac:dyDescent="0.25">
      <c r="A53" t="s">
        <v>229</v>
      </c>
      <c r="B53" t="s">
        <v>330</v>
      </c>
      <c r="C53">
        <v>5.0999999999999997E-2</v>
      </c>
      <c r="D53" t="s">
        <v>4204</v>
      </c>
    </row>
    <row r="54" spans="1:4" x14ac:dyDescent="0.25">
      <c r="A54" t="s">
        <v>230</v>
      </c>
      <c r="B54" t="s">
        <v>331</v>
      </c>
      <c r="C54">
        <v>5.1999999999999998E-2</v>
      </c>
      <c r="D54" t="s">
        <v>4204</v>
      </c>
    </row>
    <row r="55" spans="1:4" x14ac:dyDescent="0.25">
      <c r="A55" t="s">
        <v>231</v>
      </c>
      <c r="B55" t="s">
        <v>332</v>
      </c>
      <c r="C55">
        <v>5.2999999999999999E-2</v>
      </c>
      <c r="D55" t="s">
        <v>4204</v>
      </c>
    </row>
    <row r="56" spans="1:4" x14ac:dyDescent="0.25">
      <c r="A56" t="s">
        <v>232</v>
      </c>
      <c r="B56" t="s">
        <v>333</v>
      </c>
      <c r="C56">
        <v>5.3999999999999999E-2</v>
      </c>
      <c r="D56" t="s">
        <v>4204</v>
      </c>
    </row>
    <row r="57" spans="1:4" x14ac:dyDescent="0.25">
      <c r="A57" t="s">
        <v>233</v>
      </c>
      <c r="B57" t="s">
        <v>334</v>
      </c>
      <c r="C57">
        <v>5.5E-2</v>
      </c>
      <c r="D57" t="s">
        <v>4204</v>
      </c>
    </row>
    <row r="58" spans="1:4" x14ac:dyDescent="0.25">
      <c r="A58" t="s">
        <v>234</v>
      </c>
      <c r="B58" t="s">
        <v>335</v>
      </c>
      <c r="C58">
        <v>5.6000000000000001E-2</v>
      </c>
      <c r="D58" t="s">
        <v>4204</v>
      </c>
    </row>
    <row r="59" spans="1:4" x14ac:dyDescent="0.25">
      <c r="A59" t="s">
        <v>235</v>
      </c>
      <c r="B59" t="s">
        <v>336</v>
      </c>
      <c r="C59">
        <v>5.7000000000000002E-2</v>
      </c>
      <c r="D59" t="s">
        <v>4204</v>
      </c>
    </row>
    <row r="60" spans="1:4" x14ac:dyDescent="0.25">
      <c r="A60" t="s">
        <v>236</v>
      </c>
      <c r="B60" t="s">
        <v>337</v>
      </c>
      <c r="C60">
        <v>5.8000000000000003E-2</v>
      </c>
      <c r="D60" t="s">
        <v>4204</v>
      </c>
    </row>
    <row r="61" spans="1:4" x14ac:dyDescent="0.25">
      <c r="A61" t="s">
        <v>237</v>
      </c>
      <c r="B61" t="s">
        <v>338</v>
      </c>
      <c r="C61">
        <v>5.8999999999999997E-2</v>
      </c>
      <c r="D61" t="s">
        <v>4204</v>
      </c>
    </row>
    <row r="62" spans="1:4" x14ac:dyDescent="0.25">
      <c r="A62" t="s">
        <v>238</v>
      </c>
      <c r="B62" t="s">
        <v>339</v>
      </c>
      <c r="C62">
        <v>0.06</v>
      </c>
      <c r="D62" t="s">
        <v>4204</v>
      </c>
    </row>
    <row r="63" spans="1:4" x14ac:dyDescent="0.25">
      <c r="A63" t="s">
        <v>239</v>
      </c>
      <c r="B63" t="s">
        <v>340</v>
      </c>
      <c r="C63">
        <v>6.0999999999999999E-2</v>
      </c>
      <c r="D63" t="s">
        <v>4204</v>
      </c>
    </row>
    <row r="64" spans="1:4" x14ac:dyDescent="0.25">
      <c r="A64" t="s">
        <v>240</v>
      </c>
      <c r="B64" t="s">
        <v>341</v>
      </c>
      <c r="C64">
        <v>6.2E-2</v>
      </c>
      <c r="D64" t="s">
        <v>4204</v>
      </c>
    </row>
    <row r="65" spans="1:4" x14ac:dyDescent="0.25">
      <c r="A65" t="s">
        <v>241</v>
      </c>
      <c r="B65" t="s">
        <v>342</v>
      </c>
      <c r="C65">
        <v>6.3E-2</v>
      </c>
      <c r="D65" t="s">
        <v>4204</v>
      </c>
    </row>
    <row r="66" spans="1:4" x14ac:dyDescent="0.25">
      <c r="A66" t="s">
        <v>242</v>
      </c>
      <c r="B66" t="s">
        <v>343</v>
      </c>
      <c r="C66">
        <v>6.4000000000000001E-2</v>
      </c>
      <c r="D66" t="s">
        <v>4204</v>
      </c>
    </row>
    <row r="67" spans="1:4" x14ac:dyDescent="0.25">
      <c r="A67" t="s">
        <v>243</v>
      </c>
      <c r="B67" t="s">
        <v>344</v>
      </c>
      <c r="C67">
        <v>6.5000000000000002E-2</v>
      </c>
      <c r="D67" t="s">
        <v>4204</v>
      </c>
    </row>
    <row r="68" spans="1:4" x14ac:dyDescent="0.25">
      <c r="A68" t="s">
        <v>244</v>
      </c>
      <c r="B68" t="s">
        <v>345</v>
      </c>
      <c r="C68">
        <v>6.6000000000000003E-2</v>
      </c>
      <c r="D68" t="s">
        <v>4204</v>
      </c>
    </row>
    <row r="69" spans="1:4" x14ac:dyDescent="0.25">
      <c r="A69" t="s">
        <v>245</v>
      </c>
      <c r="B69" t="s">
        <v>346</v>
      </c>
      <c r="C69">
        <v>6.7000000000000004E-2</v>
      </c>
      <c r="D69" t="s">
        <v>4204</v>
      </c>
    </row>
    <row r="70" spans="1:4" x14ac:dyDescent="0.25">
      <c r="A70" t="s">
        <v>246</v>
      </c>
      <c r="B70" t="s">
        <v>347</v>
      </c>
      <c r="C70">
        <v>6.8000000000000005E-2</v>
      </c>
      <c r="D70" t="s">
        <v>4204</v>
      </c>
    </row>
    <row r="71" spans="1:4" x14ac:dyDescent="0.25">
      <c r="A71" t="s">
        <v>247</v>
      </c>
      <c r="B71" t="s">
        <v>348</v>
      </c>
      <c r="C71">
        <v>6.9000000000000006E-2</v>
      </c>
      <c r="D71" t="s">
        <v>4204</v>
      </c>
    </row>
    <row r="72" spans="1:4" x14ac:dyDescent="0.25">
      <c r="A72" t="s">
        <v>248</v>
      </c>
      <c r="B72" t="s">
        <v>349</v>
      </c>
      <c r="C72">
        <v>7.0000000000000007E-2</v>
      </c>
      <c r="D72" t="s">
        <v>4204</v>
      </c>
    </row>
    <row r="73" spans="1:4" x14ac:dyDescent="0.25">
      <c r="A73" t="s">
        <v>249</v>
      </c>
      <c r="B73" t="s">
        <v>350</v>
      </c>
      <c r="C73">
        <v>7.0999999999999994E-2</v>
      </c>
      <c r="D73" t="s">
        <v>4204</v>
      </c>
    </row>
    <row r="74" spans="1:4" x14ac:dyDescent="0.25">
      <c r="A74" t="s">
        <v>250</v>
      </c>
      <c r="B74" t="s">
        <v>351</v>
      </c>
      <c r="C74">
        <v>7.1999999999999995E-2</v>
      </c>
      <c r="D74" t="s">
        <v>4204</v>
      </c>
    </row>
    <row r="75" spans="1:4" x14ac:dyDescent="0.25">
      <c r="A75" t="s">
        <v>251</v>
      </c>
      <c r="B75" t="s">
        <v>352</v>
      </c>
      <c r="C75">
        <v>7.2999999999999995E-2</v>
      </c>
      <c r="D75" t="s">
        <v>4204</v>
      </c>
    </row>
    <row r="76" spans="1:4" x14ac:dyDescent="0.25">
      <c r="A76" t="s">
        <v>252</v>
      </c>
      <c r="B76" t="s">
        <v>353</v>
      </c>
      <c r="C76">
        <v>7.3999999999999996E-2</v>
      </c>
      <c r="D76" t="s">
        <v>4204</v>
      </c>
    </row>
    <row r="77" spans="1:4" x14ac:dyDescent="0.25">
      <c r="A77" t="s">
        <v>253</v>
      </c>
      <c r="B77" t="s">
        <v>354</v>
      </c>
      <c r="C77">
        <v>7.4999999999999997E-2</v>
      </c>
      <c r="D77" t="s">
        <v>4204</v>
      </c>
    </row>
    <row r="78" spans="1:4" x14ac:dyDescent="0.25">
      <c r="A78" t="s">
        <v>254</v>
      </c>
      <c r="B78" t="s">
        <v>355</v>
      </c>
      <c r="C78">
        <v>7.5999999999999998E-2</v>
      </c>
      <c r="D78" t="s">
        <v>4204</v>
      </c>
    </row>
    <row r="79" spans="1:4" x14ac:dyDescent="0.25">
      <c r="A79" t="s">
        <v>255</v>
      </c>
      <c r="B79" t="s">
        <v>356</v>
      </c>
      <c r="C79">
        <v>7.6999999999999999E-2</v>
      </c>
      <c r="D79" t="s">
        <v>4204</v>
      </c>
    </row>
    <row r="80" spans="1:4" x14ac:dyDescent="0.25">
      <c r="A80" t="s">
        <v>256</v>
      </c>
      <c r="B80" t="s">
        <v>357</v>
      </c>
      <c r="C80">
        <v>7.8E-2</v>
      </c>
      <c r="D80" t="s">
        <v>4204</v>
      </c>
    </row>
    <row r="81" spans="1:4" x14ac:dyDescent="0.25">
      <c r="A81" t="s">
        <v>257</v>
      </c>
      <c r="B81" t="s">
        <v>358</v>
      </c>
      <c r="C81">
        <v>7.9000000000000001E-2</v>
      </c>
      <c r="D81" t="s">
        <v>4204</v>
      </c>
    </row>
    <row r="82" spans="1:4" x14ac:dyDescent="0.25">
      <c r="A82" t="s">
        <v>258</v>
      </c>
      <c r="B82" t="s">
        <v>359</v>
      </c>
      <c r="C82">
        <v>0.08</v>
      </c>
      <c r="D82" t="s">
        <v>4204</v>
      </c>
    </row>
    <row r="83" spans="1:4" x14ac:dyDescent="0.25">
      <c r="A83" t="s">
        <v>259</v>
      </c>
      <c r="B83" t="s">
        <v>360</v>
      </c>
      <c r="C83">
        <v>8.1000000000000003E-2</v>
      </c>
      <c r="D83" t="s">
        <v>4204</v>
      </c>
    </row>
    <row r="84" spans="1:4" x14ac:dyDescent="0.25">
      <c r="A84" t="s">
        <v>260</v>
      </c>
      <c r="B84" t="s">
        <v>361</v>
      </c>
      <c r="C84">
        <v>8.2000000000000003E-2</v>
      </c>
      <c r="D84" t="s">
        <v>4204</v>
      </c>
    </row>
    <row r="85" spans="1:4" x14ac:dyDescent="0.25">
      <c r="A85" t="s">
        <v>261</v>
      </c>
      <c r="B85" t="s">
        <v>362</v>
      </c>
      <c r="C85">
        <v>8.3000000000000004E-2</v>
      </c>
      <c r="D85" t="s">
        <v>4204</v>
      </c>
    </row>
    <row r="86" spans="1:4" x14ac:dyDescent="0.25">
      <c r="A86" t="s">
        <v>262</v>
      </c>
      <c r="B86" t="s">
        <v>363</v>
      </c>
      <c r="C86">
        <v>8.4000000000000005E-2</v>
      </c>
      <c r="D86" t="s">
        <v>4204</v>
      </c>
    </row>
    <row r="87" spans="1:4" x14ac:dyDescent="0.25">
      <c r="A87" t="s">
        <v>263</v>
      </c>
      <c r="B87" t="s">
        <v>364</v>
      </c>
      <c r="C87">
        <v>8.5000000000000006E-2</v>
      </c>
      <c r="D87" t="s">
        <v>4204</v>
      </c>
    </row>
    <row r="88" spans="1:4" x14ac:dyDescent="0.25">
      <c r="A88" t="s">
        <v>264</v>
      </c>
      <c r="B88" t="s">
        <v>365</v>
      </c>
      <c r="C88">
        <v>8.5999999999999993E-2</v>
      </c>
      <c r="D88" t="s">
        <v>4204</v>
      </c>
    </row>
    <row r="89" spans="1:4" x14ac:dyDescent="0.25">
      <c r="A89" t="s">
        <v>265</v>
      </c>
      <c r="B89" t="s">
        <v>366</v>
      </c>
      <c r="C89">
        <v>8.6999999999999994E-2</v>
      </c>
      <c r="D89" t="s">
        <v>4204</v>
      </c>
    </row>
    <row r="90" spans="1:4" x14ac:dyDescent="0.25">
      <c r="A90" t="s">
        <v>266</v>
      </c>
      <c r="B90" t="s">
        <v>367</v>
      </c>
      <c r="C90">
        <v>8.7999999999999995E-2</v>
      </c>
      <c r="D90" t="s">
        <v>4204</v>
      </c>
    </row>
    <row r="91" spans="1:4" x14ac:dyDescent="0.25">
      <c r="A91" t="s">
        <v>267</v>
      </c>
      <c r="B91" t="s">
        <v>368</v>
      </c>
      <c r="C91">
        <v>8.8999999999999996E-2</v>
      </c>
      <c r="D91" t="s">
        <v>4204</v>
      </c>
    </row>
    <row r="92" spans="1:4" x14ac:dyDescent="0.25">
      <c r="A92" t="s">
        <v>268</v>
      </c>
      <c r="B92" t="s">
        <v>369</v>
      </c>
      <c r="C92">
        <v>0.09</v>
      </c>
      <c r="D92" t="s">
        <v>4204</v>
      </c>
    </row>
    <row r="93" spans="1:4" x14ac:dyDescent="0.25">
      <c r="A93" t="s">
        <v>269</v>
      </c>
      <c r="B93" t="s">
        <v>370</v>
      </c>
      <c r="C93">
        <v>9.0999999999999998E-2</v>
      </c>
      <c r="D93" t="s">
        <v>4204</v>
      </c>
    </row>
    <row r="94" spans="1:4" x14ac:dyDescent="0.25">
      <c r="A94" t="s">
        <v>270</v>
      </c>
      <c r="B94" t="s">
        <v>371</v>
      </c>
      <c r="C94">
        <v>9.1999999999999998E-2</v>
      </c>
      <c r="D94" t="s">
        <v>4204</v>
      </c>
    </row>
    <row r="95" spans="1:4" x14ac:dyDescent="0.25">
      <c r="A95" t="s">
        <v>271</v>
      </c>
      <c r="B95" t="s">
        <v>372</v>
      </c>
      <c r="C95">
        <v>9.2999999999999999E-2</v>
      </c>
      <c r="D95" t="s">
        <v>4204</v>
      </c>
    </row>
    <row r="96" spans="1:4" x14ac:dyDescent="0.25">
      <c r="A96" t="s">
        <v>272</v>
      </c>
      <c r="B96" t="s">
        <v>373</v>
      </c>
      <c r="C96">
        <v>9.4E-2</v>
      </c>
      <c r="D96" t="s">
        <v>4204</v>
      </c>
    </row>
    <row r="97" spans="1:4" x14ac:dyDescent="0.25">
      <c r="A97" t="s">
        <v>273</v>
      </c>
      <c r="B97" t="s">
        <v>374</v>
      </c>
      <c r="C97">
        <v>9.5000000000000001E-2</v>
      </c>
      <c r="D97" t="s">
        <v>4204</v>
      </c>
    </row>
    <row r="98" spans="1:4" x14ac:dyDescent="0.25">
      <c r="A98" t="s">
        <v>274</v>
      </c>
      <c r="B98" t="s">
        <v>375</v>
      </c>
      <c r="C98">
        <v>9.6000000000000099E-2</v>
      </c>
      <c r="D98" t="s">
        <v>4204</v>
      </c>
    </row>
    <row r="99" spans="1:4" x14ac:dyDescent="0.25">
      <c r="A99" t="s">
        <v>275</v>
      </c>
      <c r="B99" t="s">
        <v>376</v>
      </c>
      <c r="C99">
        <v>9.70000000000001E-2</v>
      </c>
      <c r="D99" t="s">
        <v>4204</v>
      </c>
    </row>
    <row r="100" spans="1:4" x14ac:dyDescent="0.25">
      <c r="A100" t="s">
        <v>276</v>
      </c>
      <c r="B100" t="s">
        <v>377</v>
      </c>
      <c r="C100">
        <v>9.8000000000000101E-2</v>
      </c>
      <c r="D100" t="s">
        <v>4204</v>
      </c>
    </row>
    <row r="101" spans="1:4" x14ac:dyDescent="0.25">
      <c r="A101" t="s">
        <v>277</v>
      </c>
      <c r="B101" t="s">
        <v>378</v>
      </c>
      <c r="C101">
        <v>9.9000000000000102E-2</v>
      </c>
      <c r="D101" t="s">
        <v>4204</v>
      </c>
    </row>
    <row r="102" spans="1:4" x14ac:dyDescent="0.25">
      <c r="A102" t="s">
        <v>278</v>
      </c>
      <c r="B102" t="s">
        <v>379</v>
      </c>
      <c r="C102">
        <v>0.1</v>
      </c>
      <c r="D102" t="s">
        <v>4204</v>
      </c>
    </row>
    <row r="103" spans="1:4" x14ac:dyDescent="0.25">
      <c r="A103" t="s">
        <v>380</v>
      </c>
      <c r="B103" t="s">
        <v>1280</v>
      </c>
      <c r="C103">
        <v>0.10100000000000001</v>
      </c>
      <c r="D103" t="s">
        <v>4204</v>
      </c>
    </row>
    <row r="104" spans="1:4" x14ac:dyDescent="0.25">
      <c r="A104" t="s">
        <v>381</v>
      </c>
      <c r="B104" t="s">
        <v>1281</v>
      </c>
      <c r="C104">
        <v>0.10199999999999999</v>
      </c>
      <c r="D104" t="s">
        <v>4204</v>
      </c>
    </row>
    <row r="105" spans="1:4" x14ac:dyDescent="0.25">
      <c r="A105" t="s">
        <v>382</v>
      </c>
      <c r="B105" t="s">
        <v>1282</v>
      </c>
      <c r="C105">
        <v>0.10299999999999999</v>
      </c>
      <c r="D105" t="s">
        <v>4204</v>
      </c>
    </row>
    <row r="106" spans="1:4" x14ac:dyDescent="0.25">
      <c r="A106" t="s">
        <v>383</v>
      </c>
      <c r="B106" t="s">
        <v>1283</v>
      </c>
      <c r="C106">
        <v>0.104</v>
      </c>
      <c r="D106" t="s">
        <v>4204</v>
      </c>
    </row>
    <row r="107" spans="1:4" x14ac:dyDescent="0.25">
      <c r="A107" t="s">
        <v>384</v>
      </c>
      <c r="B107" t="s">
        <v>1284</v>
      </c>
      <c r="C107">
        <v>0.105</v>
      </c>
      <c r="D107" t="s">
        <v>4204</v>
      </c>
    </row>
    <row r="108" spans="1:4" x14ac:dyDescent="0.25">
      <c r="A108" t="s">
        <v>385</v>
      </c>
      <c r="B108" t="s">
        <v>1285</v>
      </c>
      <c r="C108">
        <v>0.106</v>
      </c>
      <c r="D108" t="s">
        <v>4204</v>
      </c>
    </row>
    <row r="109" spans="1:4" x14ac:dyDescent="0.25">
      <c r="A109" t="s">
        <v>386</v>
      </c>
      <c r="B109" t="s">
        <v>1286</v>
      </c>
      <c r="C109">
        <v>0.107</v>
      </c>
      <c r="D109" t="s">
        <v>4204</v>
      </c>
    </row>
    <row r="110" spans="1:4" x14ac:dyDescent="0.25">
      <c r="A110" t="s">
        <v>387</v>
      </c>
      <c r="B110" t="s">
        <v>1287</v>
      </c>
      <c r="C110">
        <v>0.108</v>
      </c>
      <c r="D110" t="s">
        <v>4204</v>
      </c>
    </row>
    <row r="111" spans="1:4" x14ac:dyDescent="0.25">
      <c r="A111" t="s">
        <v>388</v>
      </c>
      <c r="B111" t="s">
        <v>1288</v>
      </c>
      <c r="C111">
        <v>0.109</v>
      </c>
      <c r="D111" t="s">
        <v>4204</v>
      </c>
    </row>
    <row r="112" spans="1:4" x14ac:dyDescent="0.25">
      <c r="A112" t="s">
        <v>389</v>
      </c>
      <c r="B112" t="s">
        <v>1289</v>
      </c>
      <c r="C112">
        <v>0.11</v>
      </c>
      <c r="D112" t="s">
        <v>4204</v>
      </c>
    </row>
    <row r="113" spans="1:4" x14ac:dyDescent="0.25">
      <c r="A113" t="s">
        <v>390</v>
      </c>
      <c r="B113" t="s">
        <v>1290</v>
      </c>
      <c r="C113">
        <v>0.111</v>
      </c>
      <c r="D113" t="s">
        <v>4204</v>
      </c>
    </row>
    <row r="114" spans="1:4" x14ac:dyDescent="0.25">
      <c r="A114" t="s">
        <v>391</v>
      </c>
      <c r="B114" t="s">
        <v>1291</v>
      </c>
      <c r="C114">
        <v>0.112</v>
      </c>
      <c r="D114" t="s">
        <v>4204</v>
      </c>
    </row>
    <row r="115" spans="1:4" x14ac:dyDescent="0.25">
      <c r="A115" t="s">
        <v>392</v>
      </c>
      <c r="B115" t="s">
        <v>1292</v>
      </c>
      <c r="C115">
        <v>0.113</v>
      </c>
      <c r="D115" t="s">
        <v>4204</v>
      </c>
    </row>
    <row r="116" spans="1:4" x14ac:dyDescent="0.25">
      <c r="A116" t="s">
        <v>393</v>
      </c>
      <c r="B116" t="s">
        <v>1293</v>
      </c>
      <c r="C116">
        <v>0.114</v>
      </c>
      <c r="D116" t="s">
        <v>4204</v>
      </c>
    </row>
    <row r="117" spans="1:4" x14ac:dyDescent="0.25">
      <c r="A117" t="s">
        <v>394</v>
      </c>
      <c r="B117" t="s">
        <v>1294</v>
      </c>
      <c r="C117">
        <v>0.115</v>
      </c>
      <c r="D117" t="s">
        <v>4204</v>
      </c>
    </row>
    <row r="118" spans="1:4" x14ac:dyDescent="0.25">
      <c r="A118" t="s">
        <v>395</v>
      </c>
      <c r="B118" t="s">
        <v>1295</v>
      </c>
      <c r="C118">
        <v>0.11600000000000001</v>
      </c>
      <c r="D118" t="s">
        <v>4204</v>
      </c>
    </row>
    <row r="119" spans="1:4" x14ac:dyDescent="0.25">
      <c r="A119" t="s">
        <v>396</v>
      </c>
      <c r="B119" t="s">
        <v>1296</v>
      </c>
      <c r="C119">
        <v>0.11700000000000001</v>
      </c>
      <c r="D119" t="s">
        <v>4204</v>
      </c>
    </row>
    <row r="120" spans="1:4" x14ac:dyDescent="0.25">
      <c r="A120" t="s">
        <v>397</v>
      </c>
      <c r="B120" t="s">
        <v>1297</v>
      </c>
      <c r="C120">
        <v>0.11799999999999999</v>
      </c>
      <c r="D120" t="s">
        <v>4204</v>
      </c>
    </row>
    <row r="121" spans="1:4" x14ac:dyDescent="0.25">
      <c r="A121" t="s">
        <v>398</v>
      </c>
      <c r="B121" t="s">
        <v>1298</v>
      </c>
      <c r="C121">
        <v>0.11899999999999999</v>
      </c>
      <c r="D121" t="s">
        <v>4204</v>
      </c>
    </row>
    <row r="122" spans="1:4" x14ac:dyDescent="0.25">
      <c r="A122" t="s">
        <v>399</v>
      </c>
      <c r="B122" t="s">
        <v>1299</v>
      </c>
      <c r="C122">
        <v>0.12</v>
      </c>
      <c r="D122" t="s">
        <v>4204</v>
      </c>
    </row>
    <row r="123" spans="1:4" x14ac:dyDescent="0.25">
      <c r="A123" t="s">
        <v>400</v>
      </c>
      <c r="B123" t="s">
        <v>1300</v>
      </c>
      <c r="C123">
        <v>0.121</v>
      </c>
      <c r="D123" t="s">
        <v>4204</v>
      </c>
    </row>
    <row r="124" spans="1:4" x14ac:dyDescent="0.25">
      <c r="A124" t="s">
        <v>401</v>
      </c>
      <c r="B124" t="s">
        <v>1301</v>
      </c>
      <c r="C124">
        <v>0.122</v>
      </c>
      <c r="D124" t="s">
        <v>4204</v>
      </c>
    </row>
    <row r="125" spans="1:4" x14ac:dyDescent="0.25">
      <c r="A125" t="s">
        <v>402</v>
      </c>
      <c r="B125" t="s">
        <v>1302</v>
      </c>
      <c r="C125">
        <v>0.123</v>
      </c>
      <c r="D125" t="s">
        <v>4204</v>
      </c>
    </row>
    <row r="126" spans="1:4" x14ac:dyDescent="0.25">
      <c r="A126" t="s">
        <v>403</v>
      </c>
      <c r="B126" t="s">
        <v>1303</v>
      </c>
      <c r="C126">
        <v>0.124</v>
      </c>
      <c r="D126" t="s">
        <v>4204</v>
      </c>
    </row>
    <row r="127" spans="1:4" x14ac:dyDescent="0.25">
      <c r="A127" t="s">
        <v>404</v>
      </c>
      <c r="B127" t="s">
        <v>1304</v>
      </c>
      <c r="C127">
        <v>0.125</v>
      </c>
      <c r="D127" t="s">
        <v>4204</v>
      </c>
    </row>
    <row r="128" spans="1:4" x14ac:dyDescent="0.25">
      <c r="A128" t="s">
        <v>405</v>
      </c>
      <c r="B128" t="s">
        <v>1305</v>
      </c>
      <c r="C128">
        <v>0.126</v>
      </c>
      <c r="D128" t="s">
        <v>4204</v>
      </c>
    </row>
    <row r="129" spans="1:4" x14ac:dyDescent="0.25">
      <c r="A129" t="s">
        <v>406</v>
      </c>
      <c r="B129" t="s">
        <v>1306</v>
      </c>
      <c r="C129">
        <v>0.127</v>
      </c>
      <c r="D129" t="s">
        <v>4204</v>
      </c>
    </row>
    <row r="130" spans="1:4" x14ac:dyDescent="0.25">
      <c r="A130" t="s">
        <v>407</v>
      </c>
      <c r="B130" t="s">
        <v>1307</v>
      </c>
      <c r="C130">
        <v>0.128</v>
      </c>
      <c r="D130" t="s">
        <v>4204</v>
      </c>
    </row>
    <row r="131" spans="1:4" x14ac:dyDescent="0.25">
      <c r="A131" t="s">
        <v>408</v>
      </c>
      <c r="B131" t="s">
        <v>1308</v>
      </c>
      <c r="C131">
        <v>0.129</v>
      </c>
      <c r="D131" t="s">
        <v>4204</v>
      </c>
    </row>
    <row r="132" spans="1:4" x14ac:dyDescent="0.25">
      <c r="A132" t="s">
        <v>409</v>
      </c>
      <c r="B132" t="s">
        <v>1309</v>
      </c>
      <c r="C132">
        <v>0.13</v>
      </c>
      <c r="D132" t="s">
        <v>4204</v>
      </c>
    </row>
    <row r="133" spans="1:4" x14ac:dyDescent="0.25">
      <c r="A133" t="s">
        <v>410</v>
      </c>
      <c r="B133" t="s">
        <v>1310</v>
      </c>
      <c r="C133">
        <v>0.13100000000000001</v>
      </c>
      <c r="D133" t="s">
        <v>4204</v>
      </c>
    </row>
    <row r="134" spans="1:4" x14ac:dyDescent="0.25">
      <c r="A134" t="s">
        <v>411</v>
      </c>
      <c r="B134" t="s">
        <v>1311</v>
      </c>
      <c r="C134">
        <v>0.13200000000000001</v>
      </c>
      <c r="D134" t="s">
        <v>4204</v>
      </c>
    </row>
    <row r="135" spans="1:4" x14ac:dyDescent="0.25">
      <c r="A135" t="s">
        <v>412</v>
      </c>
      <c r="B135" t="s">
        <v>1312</v>
      </c>
      <c r="C135">
        <v>0.13300000000000001</v>
      </c>
      <c r="D135" t="s">
        <v>4204</v>
      </c>
    </row>
    <row r="136" spans="1:4" x14ac:dyDescent="0.25">
      <c r="A136" t="s">
        <v>413</v>
      </c>
      <c r="B136" t="s">
        <v>1313</v>
      </c>
      <c r="C136">
        <v>0.13400000000000001</v>
      </c>
      <c r="D136" t="s">
        <v>4204</v>
      </c>
    </row>
    <row r="137" spans="1:4" x14ac:dyDescent="0.25">
      <c r="A137" t="s">
        <v>414</v>
      </c>
      <c r="B137" t="s">
        <v>1314</v>
      </c>
      <c r="C137">
        <v>0.13500000000000001</v>
      </c>
      <c r="D137" t="s">
        <v>4204</v>
      </c>
    </row>
    <row r="138" spans="1:4" x14ac:dyDescent="0.25">
      <c r="A138" t="s">
        <v>415</v>
      </c>
      <c r="B138" t="s">
        <v>1315</v>
      </c>
      <c r="C138">
        <v>0.13600000000000001</v>
      </c>
      <c r="D138" t="s">
        <v>4204</v>
      </c>
    </row>
    <row r="139" spans="1:4" x14ac:dyDescent="0.25">
      <c r="A139" t="s">
        <v>416</v>
      </c>
      <c r="B139" t="s">
        <v>1316</v>
      </c>
      <c r="C139">
        <v>0.13700000000000001</v>
      </c>
      <c r="D139" t="s">
        <v>4204</v>
      </c>
    </row>
    <row r="140" spans="1:4" x14ac:dyDescent="0.25">
      <c r="A140" t="s">
        <v>417</v>
      </c>
      <c r="B140" t="s">
        <v>1317</v>
      </c>
      <c r="C140">
        <v>0.13800000000000001</v>
      </c>
      <c r="D140" t="s">
        <v>4204</v>
      </c>
    </row>
    <row r="141" spans="1:4" x14ac:dyDescent="0.25">
      <c r="A141" t="s">
        <v>418</v>
      </c>
      <c r="B141" t="s">
        <v>1318</v>
      </c>
      <c r="C141">
        <v>0.13900000000000001</v>
      </c>
      <c r="D141" t="s">
        <v>4204</v>
      </c>
    </row>
    <row r="142" spans="1:4" x14ac:dyDescent="0.25">
      <c r="A142" t="s">
        <v>419</v>
      </c>
      <c r="B142" t="s">
        <v>1319</v>
      </c>
      <c r="C142">
        <v>0.14000000000000001</v>
      </c>
      <c r="D142" t="s">
        <v>4204</v>
      </c>
    </row>
    <row r="143" spans="1:4" x14ac:dyDescent="0.25">
      <c r="A143" t="s">
        <v>420</v>
      </c>
      <c r="B143" t="s">
        <v>1320</v>
      </c>
      <c r="C143">
        <v>0.14099999999999999</v>
      </c>
      <c r="D143" t="s">
        <v>4204</v>
      </c>
    </row>
    <row r="144" spans="1:4" x14ac:dyDescent="0.25">
      <c r="A144" t="s">
        <v>421</v>
      </c>
      <c r="B144" t="s">
        <v>1321</v>
      </c>
      <c r="C144">
        <v>0.14199999999999999</v>
      </c>
      <c r="D144" t="s">
        <v>4204</v>
      </c>
    </row>
    <row r="145" spans="1:4" x14ac:dyDescent="0.25">
      <c r="A145" t="s">
        <v>422</v>
      </c>
      <c r="B145" t="s">
        <v>1322</v>
      </c>
      <c r="C145">
        <v>0.14299999999999999</v>
      </c>
      <c r="D145" t="s">
        <v>4204</v>
      </c>
    </row>
    <row r="146" spans="1:4" x14ac:dyDescent="0.25">
      <c r="A146" t="s">
        <v>423</v>
      </c>
      <c r="B146" t="s">
        <v>1323</v>
      </c>
      <c r="C146">
        <v>0.14399999999999999</v>
      </c>
      <c r="D146" t="s">
        <v>4204</v>
      </c>
    </row>
    <row r="147" spans="1:4" x14ac:dyDescent="0.25">
      <c r="A147" t="s">
        <v>424</v>
      </c>
      <c r="B147" t="s">
        <v>1324</v>
      </c>
      <c r="C147">
        <v>0.14499999999999999</v>
      </c>
      <c r="D147" t="s">
        <v>4204</v>
      </c>
    </row>
    <row r="148" spans="1:4" x14ac:dyDescent="0.25">
      <c r="A148" t="s">
        <v>425</v>
      </c>
      <c r="B148" t="s">
        <v>1325</v>
      </c>
      <c r="C148">
        <v>0.14599999999999999</v>
      </c>
      <c r="D148" t="s">
        <v>4204</v>
      </c>
    </row>
    <row r="149" spans="1:4" x14ac:dyDescent="0.25">
      <c r="A149" t="s">
        <v>426</v>
      </c>
      <c r="B149" t="s">
        <v>1326</v>
      </c>
      <c r="C149">
        <v>0.14699999999999999</v>
      </c>
      <c r="D149" t="s">
        <v>4204</v>
      </c>
    </row>
    <row r="150" spans="1:4" x14ac:dyDescent="0.25">
      <c r="A150" t="s">
        <v>427</v>
      </c>
      <c r="B150" t="s">
        <v>1327</v>
      </c>
      <c r="C150">
        <v>0.14799999999999999</v>
      </c>
      <c r="D150" t="s">
        <v>4204</v>
      </c>
    </row>
    <row r="151" spans="1:4" x14ac:dyDescent="0.25">
      <c r="A151" t="s">
        <v>428</v>
      </c>
      <c r="B151" t="s">
        <v>1328</v>
      </c>
      <c r="C151">
        <v>0.14899999999999999</v>
      </c>
      <c r="D151" t="s">
        <v>4204</v>
      </c>
    </row>
    <row r="152" spans="1:4" x14ac:dyDescent="0.25">
      <c r="A152" t="s">
        <v>429</v>
      </c>
      <c r="B152" t="s">
        <v>1329</v>
      </c>
      <c r="C152">
        <v>0.15</v>
      </c>
      <c r="D152" t="s">
        <v>4204</v>
      </c>
    </row>
    <row r="153" spans="1:4" x14ac:dyDescent="0.25">
      <c r="A153" t="s">
        <v>430</v>
      </c>
      <c r="B153" t="s">
        <v>1330</v>
      </c>
      <c r="C153">
        <v>0.151</v>
      </c>
      <c r="D153" t="s">
        <v>4204</v>
      </c>
    </row>
    <row r="154" spans="1:4" x14ac:dyDescent="0.25">
      <c r="A154" t="s">
        <v>431</v>
      </c>
      <c r="B154" t="s">
        <v>1331</v>
      </c>
      <c r="C154">
        <v>0.152</v>
      </c>
      <c r="D154" t="s">
        <v>4204</v>
      </c>
    </row>
    <row r="155" spans="1:4" x14ac:dyDescent="0.25">
      <c r="A155" t="s">
        <v>432</v>
      </c>
      <c r="B155" t="s">
        <v>1332</v>
      </c>
      <c r="C155">
        <v>0.153</v>
      </c>
      <c r="D155" t="s">
        <v>4204</v>
      </c>
    </row>
    <row r="156" spans="1:4" x14ac:dyDescent="0.25">
      <c r="A156" t="s">
        <v>433</v>
      </c>
      <c r="B156" t="s">
        <v>1333</v>
      </c>
      <c r="C156">
        <v>0.154</v>
      </c>
      <c r="D156" t="s">
        <v>4204</v>
      </c>
    </row>
    <row r="157" spans="1:4" x14ac:dyDescent="0.25">
      <c r="A157" t="s">
        <v>434</v>
      </c>
      <c r="B157" t="s">
        <v>1334</v>
      </c>
      <c r="C157">
        <v>0.155</v>
      </c>
      <c r="D157" t="s">
        <v>4204</v>
      </c>
    </row>
    <row r="158" spans="1:4" x14ac:dyDescent="0.25">
      <c r="A158" t="s">
        <v>435</v>
      </c>
      <c r="B158" t="s">
        <v>1335</v>
      </c>
      <c r="C158">
        <v>0.156</v>
      </c>
      <c r="D158" t="s">
        <v>4204</v>
      </c>
    </row>
    <row r="159" spans="1:4" x14ac:dyDescent="0.25">
      <c r="A159" t="s">
        <v>436</v>
      </c>
      <c r="B159" t="s">
        <v>1336</v>
      </c>
      <c r="C159">
        <v>0.157</v>
      </c>
      <c r="D159" t="s">
        <v>4204</v>
      </c>
    </row>
    <row r="160" spans="1:4" x14ac:dyDescent="0.25">
      <c r="A160" t="s">
        <v>437</v>
      </c>
      <c r="B160" t="s">
        <v>1337</v>
      </c>
      <c r="C160">
        <v>0.158</v>
      </c>
      <c r="D160" t="s">
        <v>4204</v>
      </c>
    </row>
    <row r="161" spans="1:4" x14ac:dyDescent="0.25">
      <c r="A161" t="s">
        <v>438</v>
      </c>
      <c r="B161" t="s">
        <v>1338</v>
      </c>
      <c r="C161">
        <v>0.159</v>
      </c>
      <c r="D161" t="s">
        <v>4204</v>
      </c>
    </row>
    <row r="162" spans="1:4" x14ac:dyDescent="0.25">
      <c r="A162" t="s">
        <v>439</v>
      </c>
      <c r="B162" t="s">
        <v>1339</v>
      </c>
      <c r="C162">
        <v>0.16</v>
      </c>
      <c r="D162" t="s">
        <v>4204</v>
      </c>
    </row>
    <row r="163" spans="1:4" x14ac:dyDescent="0.25">
      <c r="A163" t="s">
        <v>440</v>
      </c>
      <c r="B163" t="s">
        <v>1340</v>
      </c>
      <c r="C163">
        <v>0.161</v>
      </c>
      <c r="D163" t="s">
        <v>4204</v>
      </c>
    </row>
    <row r="164" spans="1:4" x14ac:dyDescent="0.25">
      <c r="A164" t="s">
        <v>441</v>
      </c>
      <c r="B164" t="s">
        <v>1341</v>
      </c>
      <c r="C164">
        <v>0.16200000000000001</v>
      </c>
      <c r="D164" t="s">
        <v>4204</v>
      </c>
    </row>
    <row r="165" spans="1:4" x14ac:dyDescent="0.25">
      <c r="A165" t="s">
        <v>442</v>
      </c>
      <c r="B165" t="s">
        <v>1342</v>
      </c>
      <c r="C165">
        <v>0.16300000000000001</v>
      </c>
      <c r="D165" t="s">
        <v>4204</v>
      </c>
    </row>
    <row r="166" spans="1:4" x14ac:dyDescent="0.25">
      <c r="A166" t="s">
        <v>443</v>
      </c>
      <c r="B166" t="s">
        <v>1343</v>
      </c>
      <c r="C166">
        <v>0.16400000000000001</v>
      </c>
      <c r="D166" t="s">
        <v>4204</v>
      </c>
    </row>
    <row r="167" spans="1:4" x14ac:dyDescent="0.25">
      <c r="A167" t="s">
        <v>444</v>
      </c>
      <c r="B167" t="s">
        <v>1344</v>
      </c>
      <c r="C167">
        <v>0.16500000000000001</v>
      </c>
      <c r="D167" t="s">
        <v>4204</v>
      </c>
    </row>
    <row r="168" spans="1:4" x14ac:dyDescent="0.25">
      <c r="A168" t="s">
        <v>445</v>
      </c>
      <c r="B168" t="s">
        <v>1345</v>
      </c>
      <c r="C168">
        <v>0.16600000000000001</v>
      </c>
      <c r="D168" t="s">
        <v>4204</v>
      </c>
    </row>
    <row r="169" spans="1:4" x14ac:dyDescent="0.25">
      <c r="A169" t="s">
        <v>446</v>
      </c>
      <c r="B169" t="s">
        <v>1346</v>
      </c>
      <c r="C169">
        <v>0.16700000000000001</v>
      </c>
      <c r="D169" t="s">
        <v>4204</v>
      </c>
    </row>
    <row r="170" spans="1:4" x14ac:dyDescent="0.25">
      <c r="A170" t="s">
        <v>447</v>
      </c>
      <c r="B170" t="s">
        <v>1347</v>
      </c>
      <c r="C170">
        <v>0.16800000000000001</v>
      </c>
      <c r="D170" t="s">
        <v>4204</v>
      </c>
    </row>
    <row r="171" spans="1:4" x14ac:dyDescent="0.25">
      <c r="A171" t="s">
        <v>448</v>
      </c>
      <c r="B171" t="s">
        <v>1348</v>
      </c>
      <c r="C171">
        <v>0.16900000000000001</v>
      </c>
      <c r="D171" t="s">
        <v>4204</v>
      </c>
    </row>
    <row r="172" spans="1:4" x14ac:dyDescent="0.25">
      <c r="A172" t="s">
        <v>449</v>
      </c>
      <c r="B172" t="s">
        <v>1349</v>
      </c>
      <c r="C172">
        <v>0.17</v>
      </c>
      <c r="D172" t="s">
        <v>4204</v>
      </c>
    </row>
    <row r="173" spans="1:4" x14ac:dyDescent="0.25">
      <c r="A173" t="s">
        <v>450</v>
      </c>
      <c r="B173" t="s">
        <v>1350</v>
      </c>
      <c r="C173">
        <v>0.17100000000000001</v>
      </c>
      <c r="D173" t="s">
        <v>4204</v>
      </c>
    </row>
    <row r="174" spans="1:4" x14ac:dyDescent="0.25">
      <c r="A174" t="s">
        <v>451</v>
      </c>
      <c r="B174" t="s">
        <v>1351</v>
      </c>
      <c r="C174">
        <v>0.17199999999999999</v>
      </c>
      <c r="D174" t="s">
        <v>4204</v>
      </c>
    </row>
    <row r="175" spans="1:4" x14ac:dyDescent="0.25">
      <c r="A175" t="s">
        <v>452</v>
      </c>
      <c r="B175" t="s">
        <v>1352</v>
      </c>
      <c r="C175">
        <v>0.17299999999999999</v>
      </c>
      <c r="D175" t="s">
        <v>4204</v>
      </c>
    </row>
    <row r="176" spans="1:4" x14ac:dyDescent="0.25">
      <c r="A176" t="s">
        <v>453</v>
      </c>
      <c r="B176" t="s">
        <v>1353</v>
      </c>
      <c r="C176">
        <v>0.17399999999999999</v>
      </c>
      <c r="D176" t="s">
        <v>4204</v>
      </c>
    </row>
    <row r="177" spans="1:4" x14ac:dyDescent="0.25">
      <c r="A177" t="s">
        <v>454</v>
      </c>
      <c r="B177" t="s">
        <v>1354</v>
      </c>
      <c r="C177">
        <v>0.17499999999999999</v>
      </c>
      <c r="D177" t="s">
        <v>4204</v>
      </c>
    </row>
    <row r="178" spans="1:4" x14ac:dyDescent="0.25">
      <c r="A178" t="s">
        <v>455</v>
      </c>
      <c r="B178" t="s">
        <v>1355</v>
      </c>
      <c r="C178">
        <v>0.17599999999999999</v>
      </c>
      <c r="D178" t="s">
        <v>4204</v>
      </c>
    </row>
    <row r="179" spans="1:4" x14ac:dyDescent="0.25">
      <c r="A179" t="s">
        <v>456</v>
      </c>
      <c r="B179" t="s">
        <v>1356</v>
      </c>
      <c r="C179">
        <v>0.17699999999999999</v>
      </c>
      <c r="D179" t="s">
        <v>4204</v>
      </c>
    </row>
    <row r="180" spans="1:4" x14ac:dyDescent="0.25">
      <c r="A180" t="s">
        <v>457</v>
      </c>
      <c r="B180" t="s">
        <v>1357</v>
      </c>
      <c r="C180">
        <v>0.17799999999999999</v>
      </c>
      <c r="D180" t="s">
        <v>4204</v>
      </c>
    </row>
    <row r="181" spans="1:4" x14ac:dyDescent="0.25">
      <c r="A181" t="s">
        <v>458</v>
      </c>
      <c r="B181" t="s">
        <v>1358</v>
      </c>
      <c r="C181">
        <v>0.17899999999999999</v>
      </c>
      <c r="D181" t="s">
        <v>4204</v>
      </c>
    </row>
    <row r="182" spans="1:4" x14ac:dyDescent="0.25">
      <c r="A182" t="s">
        <v>459</v>
      </c>
      <c r="B182" t="s">
        <v>1359</v>
      </c>
      <c r="C182">
        <v>0.18</v>
      </c>
      <c r="D182" t="s">
        <v>4204</v>
      </c>
    </row>
    <row r="183" spans="1:4" x14ac:dyDescent="0.25">
      <c r="A183" t="s">
        <v>460</v>
      </c>
      <c r="B183" t="s">
        <v>1360</v>
      </c>
      <c r="C183">
        <v>0.18099999999999999</v>
      </c>
      <c r="D183" t="s">
        <v>4204</v>
      </c>
    </row>
    <row r="184" spans="1:4" x14ac:dyDescent="0.25">
      <c r="A184" t="s">
        <v>461</v>
      </c>
      <c r="B184" t="s">
        <v>1361</v>
      </c>
      <c r="C184">
        <v>0.182</v>
      </c>
      <c r="D184" t="s">
        <v>4204</v>
      </c>
    </row>
    <row r="185" spans="1:4" x14ac:dyDescent="0.25">
      <c r="A185" t="s">
        <v>462</v>
      </c>
      <c r="B185" t="s">
        <v>1362</v>
      </c>
      <c r="C185">
        <v>0.183</v>
      </c>
      <c r="D185" t="s">
        <v>4204</v>
      </c>
    </row>
    <row r="186" spans="1:4" x14ac:dyDescent="0.25">
      <c r="A186" t="s">
        <v>463</v>
      </c>
      <c r="B186" t="s">
        <v>1363</v>
      </c>
      <c r="C186">
        <v>0.184</v>
      </c>
      <c r="D186" t="s">
        <v>4204</v>
      </c>
    </row>
    <row r="187" spans="1:4" x14ac:dyDescent="0.25">
      <c r="A187" t="s">
        <v>464</v>
      </c>
      <c r="B187" t="s">
        <v>1364</v>
      </c>
      <c r="C187">
        <v>0.185</v>
      </c>
      <c r="D187" t="s">
        <v>4204</v>
      </c>
    </row>
    <row r="188" spans="1:4" x14ac:dyDescent="0.25">
      <c r="A188" t="s">
        <v>465</v>
      </c>
      <c r="B188" t="s">
        <v>1365</v>
      </c>
      <c r="C188">
        <v>0.186</v>
      </c>
      <c r="D188" t="s">
        <v>4204</v>
      </c>
    </row>
    <row r="189" spans="1:4" x14ac:dyDescent="0.25">
      <c r="A189" t="s">
        <v>466</v>
      </c>
      <c r="B189" t="s">
        <v>1366</v>
      </c>
      <c r="C189">
        <v>0.187</v>
      </c>
      <c r="D189" t="s">
        <v>4204</v>
      </c>
    </row>
    <row r="190" spans="1:4" x14ac:dyDescent="0.25">
      <c r="A190" t="s">
        <v>467</v>
      </c>
      <c r="B190" t="s">
        <v>1367</v>
      </c>
      <c r="C190">
        <v>0.188</v>
      </c>
      <c r="D190" t="s">
        <v>4204</v>
      </c>
    </row>
    <row r="191" spans="1:4" x14ac:dyDescent="0.25">
      <c r="A191" t="s">
        <v>468</v>
      </c>
      <c r="B191" t="s">
        <v>1368</v>
      </c>
      <c r="C191">
        <v>0.189</v>
      </c>
      <c r="D191" t="s">
        <v>4204</v>
      </c>
    </row>
    <row r="192" spans="1:4" x14ac:dyDescent="0.25">
      <c r="A192" t="s">
        <v>469</v>
      </c>
      <c r="B192" t="s">
        <v>1369</v>
      </c>
      <c r="C192">
        <v>0.19</v>
      </c>
      <c r="D192" t="s">
        <v>4204</v>
      </c>
    </row>
    <row r="193" spans="1:4" x14ac:dyDescent="0.25">
      <c r="A193" t="s">
        <v>470</v>
      </c>
      <c r="B193" t="s">
        <v>1370</v>
      </c>
      <c r="C193">
        <v>0.191</v>
      </c>
      <c r="D193" t="s">
        <v>4204</v>
      </c>
    </row>
    <row r="194" spans="1:4" x14ac:dyDescent="0.25">
      <c r="A194" t="s">
        <v>471</v>
      </c>
      <c r="B194" t="s">
        <v>1371</v>
      </c>
      <c r="C194">
        <v>0.192</v>
      </c>
      <c r="D194" t="s">
        <v>4204</v>
      </c>
    </row>
    <row r="195" spans="1:4" x14ac:dyDescent="0.25">
      <c r="A195" t="s">
        <v>472</v>
      </c>
      <c r="B195" t="s">
        <v>1372</v>
      </c>
      <c r="C195">
        <v>0.193</v>
      </c>
      <c r="D195" t="s">
        <v>4204</v>
      </c>
    </row>
    <row r="196" spans="1:4" x14ac:dyDescent="0.25">
      <c r="A196" t="s">
        <v>473</v>
      </c>
      <c r="B196" t="s">
        <v>1373</v>
      </c>
      <c r="C196">
        <v>0.19400000000000001</v>
      </c>
      <c r="D196" t="s">
        <v>4204</v>
      </c>
    </row>
    <row r="197" spans="1:4" x14ac:dyDescent="0.25">
      <c r="A197" t="s">
        <v>474</v>
      </c>
      <c r="B197" t="s">
        <v>1374</v>
      </c>
      <c r="C197">
        <v>0.19500000000000001</v>
      </c>
      <c r="D197" t="s">
        <v>4204</v>
      </c>
    </row>
    <row r="198" spans="1:4" x14ac:dyDescent="0.25">
      <c r="A198" t="s">
        <v>475</v>
      </c>
      <c r="B198" t="s">
        <v>1375</v>
      </c>
      <c r="C198">
        <v>0.19600000000000001</v>
      </c>
      <c r="D198" t="s">
        <v>4204</v>
      </c>
    </row>
    <row r="199" spans="1:4" x14ac:dyDescent="0.25">
      <c r="A199" t="s">
        <v>476</v>
      </c>
      <c r="B199" t="s">
        <v>1376</v>
      </c>
      <c r="C199">
        <v>0.19700000000000001</v>
      </c>
      <c r="D199" t="s">
        <v>4204</v>
      </c>
    </row>
    <row r="200" spans="1:4" x14ac:dyDescent="0.25">
      <c r="A200" t="s">
        <v>477</v>
      </c>
      <c r="B200" t="s">
        <v>1377</v>
      </c>
      <c r="C200">
        <v>0.19800000000000001</v>
      </c>
      <c r="D200" t="s">
        <v>4204</v>
      </c>
    </row>
    <row r="201" spans="1:4" x14ac:dyDescent="0.25">
      <c r="A201" t="s">
        <v>478</v>
      </c>
      <c r="B201" t="s">
        <v>1378</v>
      </c>
      <c r="C201">
        <v>0.19900000000000001</v>
      </c>
      <c r="D201" t="s">
        <v>4204</v>
      </c>
    </row>
    <row r="202" spans="1:4" x14ac:dyDescent="0.25">
      <c r="A202" t="s">
        <v>479</v>
      </c>
      <c r="B202" t="s">
        <v>1379</v>
      </c>
      <c r="C202">
        <v>0.2</v>
      </c>
      <c r="D202" t="s">
        <v>4204</v>
      </c>
    </row>
    <row r="203" spans="1:4" x14ac:dyDescent="0.25">
      <c r="A203" t="s">
        <v>480</v>
      </c>
      <c r="B203" t="s">
        <v>1380</v>
      </c>
      <c r="C203">
        <v>0.20100000000000001</v>
      </c>
      <c r="D203" t="s">
        <v>4204</v>
      </c>
    </row>
    <row r="204" spans="1:4" x14ac:dyDescent="0.25">
      <c r="A204" t="s">
        <v>481</v>
      </c>
      <c r="B204" t="s">
        <v>1381</v>
      </c>
      <c r="C204">
        <v>0.20200000000000001</v>
      </c>
      <c r="D204" t="s">
        <v>4204</v>
      </c>
    </row>
    <row r="205" spans="1:4" x14ac:dyDescent="0.25">
      <c r="A205" t="s">
        <v>482</v>
      </c>
      <c r="B205" t="s">
        <v>1382</v>
      </c>
      <c r="C205">
        <v>0.20300000000000001</v>
      </c>
      <c r="D205" t="s">
        <v>4204</v>
      </c>
    </row>
    <row r="206" spans="1:4" x14ac:dyDescent="0.25">
      <c r="A206" t="s">
        <v>483</v>
      </c>
      <c r="B206" t="s">
        <v>1383</v>
      </c>
      <c r="C206">
        <v>0.20399999999999999</v>
      </c>
      <c r="D206" t="s">
        <v>4204</v>
      </c>
    </row>
    <row r="207" spans="1:4" x14ac:dyDescent="0.25">
      <c r="A207" t="s">
        <v>484</v>
      </c>
      <c r="B207" t="s">
        <v>1384</v>
      </c>
      <c r="C207">
        <v>0.20499999999999999</v>
      </c>
      <c r="D207" t="s">
        <v>4204</v>
      </c>
    </row>
    <row r="208" spans="1:4" x14ac:dyDescent="0.25">
      <c r="A208" t="s">
        <v>485</v>
      </c>
      <c r="B208" t="s">
        <v>1385</v>
      </c>
      <c r="C208">
        <v>0.20599999999999999</v>
      </c>
      <c r="D208" t="s">
        <v>4204</v>
      </c>
    </row>
    <row r="209" spans="1:4" x14ac:dyDescent="0.25">
      <c r="A209" t="s">
        <v>486</v>
      </c>
      <c r="B209" t="s">
        <v>1386</v>
      </c>
      <c r="C209">
        <v>0.20699999999999999</v>
      </c>
      <c r="D209" t="s">
        <v>4204</v>
      </c>
    </row>
    <row r="210" spans="1:4" x14ac:dyDescent="0.25">
      <c r="A210" t="s">
        <v>487</v>
      </c>
      <c r="B210" t="s">
        <v>1387</v>
      </c>
      <c r="C210">
        <v>0.20799999999999999</v>
      </c>
      <c r="D210" t="s">
        <v>4204</v>
      </c>
    </row>
    <row r="211" spans="1:4" x14ac:dyDescent="0.25">
      <c r="A211" t="s">
        <v>488</v>
      </c>
      <c r="B211" t="s">
        <v>1388</v>
      </c>
      <c r="C211">
        <v>0.20899999999999999</v>
      </c>
      <c r="D211" t="s">
        <v>4204</v>
      </c>
    </row>
    <row r="212" spans="1:4" x14ac:dyDescent="0.25">
      <c r="A212" t="s">
        <v>489</v>
      </c>
      <c r="B212" t="s">
        <v>1389</v>
      </c>
      <c r="C212">
        <v>0.21</v>
      </c>
      <c r="D212" t="s">
        <v>4204</v>
      </c>
    </row>
    <row r="213" spans="1:4" x14ac:dyDescent="0.25">
      <c r="A213" t="s">
        <v>490</v>
      </c>
      <c r="B213" t="s">
        <v>1390</v>
      </c>
      <c r="C213">
        <v>0.21099999999999999</v>
      </c>
      <c r="D213" t="s">
        <v>4204</v>
      </c>
    </row>
    <row r="214" spans="1:4" x14ac:dyDescent="0.25">
      <c r="A214" t="s">
        <v>491</v>
      </c>
      <c r="B214" t="s">
        <v>1391</v>
      </c>
      <c r="C214">
        <v>0.21199999999999999</v>
      </c>
      <c r="D214" t="s">
        <v>4204</v>
      </c>
    </row>
    <row r="215" spans="1:4" x14ac:dyDescent="0.25">
      <c r="A215" t="s">
        <v>492</v>
      </c>
      <c r="B215" t="s">
        <v>1392</v>
      </c>
      <c r="C215">
        <v>0.21299999999999999</v>
      </c>
      <c r="D215" t="s">
        <v>4204</v>
      </c>
    </row>
    <row r="216" spans="1:4" x14ac:dyDescent="0.25">
      <c r="A216" t="s">
        <v>493</v>
      </c>
      <c r="B216" t="s">
        <v>1393</v>
      </c>
      <c r="C216">
        <v>0.214</v>
      </c>
      <c r="D216" t="s">
        <v>4204</v>
      </c>
    </row>
    <row r="217" spans="1:4" x14ac:dyDescent="0.25">
      <c r="A217" t="s">
        <v>494</v>
      </c>
      <c r="B217" t="s">
        <v>1394</v>
      </c>
      <c r="C217">
        <v>0.215</v>
      </c>
      <c r="D217" t="s">
        <v>4204</v>
      </c>
    </row>
    <row r="218" spans="1:4" x14ac:dyDescent="0.25">
      <c r="A218" t="s">
        <v>495</v>
      </c>
      <c r="B218" t="s">
        <v>1395</v>
      </c>
      <c r="C218">
        <v>0.216</v>
      </c>
      <c r="D218" t="s">
        <v>4204</v>
      </c>
    </row>
    <row r="219" spans="1:4" x14ac:dyDescent="0.25">
      <c r="A219" t="s">
        <v>496</v>
      </c>
      <c r="B219" t="s">
        <v>1396</v>
      </c>
      <c r="C219">
        <v>0.217</v>
      </c>
      <c r="D219" t="s">
        <v>4204</v>
      </c>
    </row>
    <row r="220" spans="1:4" x14ac:dyDescent="0.25">
      <c r="A220" t="s">
        <v>497</v>
      </c>
      <c r="B220" t="s">
        <v>1397</v>
      </c>
      <c r="C220">
        <v>0.218</v>
      </c>
      <c r="D220" t="s">
        <v>4204</v>
      </c>
    </row>
    <row r="221" spans="1:4" x14ac:dyDescent="0.25">
      <c r="A221" t="s">
        <v>498</v>
      </c>
      <c r="B221" t="s">
        <v>1398</v>
      </c>
      <c r="C221">
        <v>0.219</v>
      </c>
      <c r="D221" t="s">
        <v>4204</v>
      </c>
    </row>
    <row r="222" spans="1:4" x14ac:dyDescent="0.25">
      <c r="A222" t="s">
        <v>499</v>
      </c>
      <c r="B222" t="s">
        <v>1399</v>
      </c>
      <c r="C222">
        <v>0.22</v>
      </c>
      <c r="D222" t="s">
        <v>4204</v>
      </c>
    </row>
    <row r="223" spans="1:4" x14ac:dyDescent="0.25">
      <c r="A223" t="s">
        <v>500</v>
      </c>
      <c r="B223" t="s">
        <v>1400</v>
      </c>
      <c r="C223">
        <v>0.221</v>
      </c>
      <c r="D223" t="s">
        <v>4204</v>
      </c>
    </row>
    <row r="224" spans="1:4" x14ac:dyDescent="0.25">
      <c r="A224" t="s">
        <v>501</v>
      </c>
      <c r="B224" t="s">
        <v>1401</v>
      </c>
      <c r="C224">
        <v>0.222</v>
      </c>
      <c r="D224" t="s">
        <v>4204</v>
      </c>
    </row>
    <row r="225" spans="1:4" x14ac:dyDescent="0.25">
      <c r="A225" t="s">
        <v>502</v>
      </c>
      <c r="B225" t="s">
        <v>1402</v>
      </c>
      <c r="C225">
        <v>0.223</v>
      </c>
      <c r="D225" t="s">
        <v>4204</v>
      </c>
    </row>
    <row r="226" spans="1:4" x14ac:dyDescent="0.25">
      <c r="A226" t="s">
        <v>503</v>
      </c>
      <c r="B226" t="s">
        <v>1403</v>
      </c>
      <c r="C226">
        <v>0.224</v>
      </c>
      <c r="D226" t="s">
        <v>4204</v>
      </c>
    </row>
    <row r="227" spans="1:4" x14ac:dyDescent="0.25">
      <c r="A227" t="s">
        <v>504</v>
      </c>
      <c r="B227" t="s">
        <v>1404</v>
      </c>
      <c r="C227">
        <v>0.22500000000000001</v>
      </c>
      <c r="D227" t="s">
        <v>4204</v>
      </c>
    </row>
    <row r="228" spans="1:4" x14ac:dyDescent="0.25">
      <c r="A228" t="s">
        <v>505</v>
      </c>
      <c r="B228" t="s">
        <v>1405</v>
      </c>
      <c r="C228">
        <v>0.22600000000000001</v>
      </c>
      <c r="D228" t="s">
        <v>4204</v>
      </c>
    </row>
    <row r="229" spans="1:4" x14ac:dyDescent="0.25">
      <c r="A229" t="s">
        <v>506</v>
      </c>
      <c r="B229" t="s">
        <v>1406</v>
      </c>
      <c r="C229">
        <v>0.22700000000000001</v>
      </c>
      <c r="D229" t="s">
        <v>4204</v>
      </c>
    </row>
    <row r="230" spans="1:4" x14ac:dyDescent="0.25">
      <c r="A230" t="s">
        <v>507</v>
      </c>
      <c r="B230" t="s">
        <v>1407</v>
      </c>
      <c r="C230">
        <v>0.22800000000000001</v>
      </c>
      <c r="D230" t="s">
        <v>4204</v>
      </c>
    </row>
    <row r="231" spans="1:4" x14ac:dyDescent="0.25">
      <c r="A231" t="s">
        <v>508</v>
      </c>
      <c r="B231" t="s">
        <v>1408</v>
      </c>
      <c r="C231">
        <v>0.22900000000000001</v>
      </c>
      <c r="D231" t="s">
        <v>4204</v>
      </c>
    </row>
    <row r="232" spans="1:4" x14ac:dyDescent="0.25">
      <c r="A232" t="s">
        <v>509</v>
      </c>
      <c r="B232" t="s">
        <v>1409</v>
      </c>
      <c r="C232">
        <v>0.23</v>
      </c>
      <c r="D232" t="s">
        <v>4204</v>
      </c>
    </row>
    <row r="233" spans="1:4" x14ac:dyDescent="0.25">
      <c r="A233" t="s">
        <v>510</v>
      </c>
      <c r="B233" t="s">
        <v>1410</v>
      </c>
      <c r="C233">
        <v>0.23100000000000001</v>
      </c>
      <c r="D233" t="s">
        <v>4204</v>
      </c>
    </row>
    <row r="234" spans="1:4" x14ac:dyDescent="0.25">
      <c r="A234" t="s">
        <v>511</v>
      </c>
      <c r="B234" t="s">
        <v>1411</v>
      </c>
      <c r="C234">
        <v>0.23200000000000001</v>
      </c>
      <c r="D234" t="s">
        <v>4204</v>
      </c>
    </row>
    <row r="235" spans="1:4" x14ac:dyDescent="0.25">
      <c r="A235" t="s">
        <v>512</v>
      </c>
      <c r="B235" t="s">
        <v>1412</v>
      </c>
      <c r="C235">
        <v>0.23300000000000001</v>
      </c>
      <c r="D235" t="s">
        <v>4204</v>
      </c>
    </row>
    <row r="236" spans="1:4" x14ac:dyDescent="0.25">
      <c r="A236" t="s">
        <v>513</v>
      </c>
      <c r="B236" t="s">
        <v>1413</v>
      </c>
      <c r="C236">
        <v>0.23400000000000001</v>
      </c>
      <c r="D236" t="s">
        <v>4204</v>
      </c>
    </row>
    <row r="237" spans="1:4" x14ac:dyDescent="0.25">
      <c r="A237" t="s">
        <v>514</v>
      </c>
      <c r="B237" t="s">
        <v>1414</v>
      </c>
      <c r="C237">
        <v>0.23499999999999999</v>
      </c>
      <c r="D237" t="s">
        <v>4204</v>
      </c>
    </row>
    <row r="238" spans="1:4" x14ac:dyDescent="0.25">
      <c r="A238" t="s">
        <v>515</v>
      </c>
      <c r="B238" t="s">
        <v>1415</v>
      </c>
      <c r="C238">
        <v>0.23599999999999999</v>
      </c>
      <c r="D238" t="s">
        <v>4204</v>
      </c>
    </row>
    <row r="239" spans="1:4" x14ac:dyDescent="0.25">
      <c r="A239" t="s">
        <v>516</v>
      </c>
      <c r="B239" t="s">
        <v>1416</v>
      </c>
      <c r="C239">
        <v>0.23699999999999999</v>
      </c>
      <c r="D239" t="s">
        <v>4204</v>
      </c>
    </row>
    <row r="240" spans="1:4" x14ac:dyDescent="0.25">
      <c r="A240" t="s">
        <v>517</v>
      </c>
      <c r="B240" t="s">
        <v>1417</v>
      </c>
      <c r="C240">
        <v>0.23799999999999999</v>
      </c>
      <c r="D240" t="s">
        <v>4204</v>
      </c>
    </row>
    <row r="241" spans="1:4" x14ac:dyDescent="0.25">
      <c r="A241" t="s">
        <v>518</v>
      </c>
      <c r="B241" t="s">
        <v>1418</v>
      </c>
      <c r="C241">
        <v>0.23899999999999999</v>
      </c>
      <c r="D241" t="s">
        <v>4204</v>
      </c>
    </row>
    <row r="242" spans="1:4" x14ac:dyDescent="0.25">
      <c r="A242" t="s">
        <v>519</v>
      </c>
      <c r="B242" t="s">
        <v>1419</v>
      </c>
      <c r="C242">
        <v>0.24</v>
      </c>
      <c r="D242" t="s">
        <v>4204</v>
      </c>
    </row>
    <row r="243" spans="1:4" x14ac:dyDescent="0.25">
      <c r="A243" t="s">
        <v>520</v>
      </c>
      <c r="B243" t="s">
        <v>1420</v>
      </c>
      <c r="C243">
        <v>0.24099999999999999</v>
      </c>
      <c r="D243" t="s">
        <v>4204</v>
      </c>
    </row>
    <row r="244" spans="1:4" x14ac:dyDescent="0.25">
      <c r="A244" t="s">
        <v>521</v>
      </c>
      <c r="B244" t="s">
        <v>1421</v>
      </c>
      <c r="C244">
        <v>0.24199999999999999</v>
      </c>
      <c r="D244" t="s">
        <v>4204</v>
      </c>
    </row>
    <row r="245" spans="1:4" x14ac:dyDescent="0.25">
      <c r="A245" t="s">
        <v>522</v>
      </c>
      <c r="B245" t="s">
        <v>1422</v>
      </c>
      <c r="C245">
        <v>0.24299999999999999</v>
      </c>
      <c r="D245" t="s">
        <v>4204</v>
      </c>
    </row>
    <row r="246" spans="1:4" x14ac:dyDescent="0.25">
      <c r="A246" t="s">
        <v>523</v>
      </c>
      <c r="B246" t="s">
        <v>1423</v>
      </c>
      <c r="C246">
        <v>0.24399999999999999</v>
      </c>
      <c r="D246" t="s">
        <v>4204</v>
      </c>
    </row>
    <row r="247" spans="1:4" x14ac:dyDescent="0.25">
      <c r="A247" t="s">
        <v>524</v>
      </c>
      <c r="B247" t="s">
        <v>1424</v>
      </c>
      <c r="C247">
        <v>0.245</v>
      </c>
      <c r="D247" t="s">
        <v>4204</v>
      </c>
    </row>
    <row r="248" spans="1:4" x14ac:dyDescent="0.25">
      <c r="A248" t="s">
        <v>525</v>
      </c>
      <c r="B248" t="s">
        <v>1425</v>
      </c>
      <c r="C248">
        <v>0.246</v>
      </c>
      <c r="D248" t="s">
        <v>4204</v>
      </c>
    </row>
    <row r="249" spans="1:4" x14ac:dyDescent="0.25">
      <c r="A249" t="s">
        <v>526</v>
      </c>
      <c r="B249" t="s">
        <v>1426</v>
      </c>
      <c r="C249">
        <v>0.247</v>
      </c>
      <c r="D249" t="s">
        <v>4204</v>
      </c>
    </row>
    <row r="250" spans="1:4" x14ac:dyDescent="0.25">
      <c r="A250" t="s">
        <v>527</v>
      </c>
      <c r="B250" t="s">
        <v>1427</v>
      </c>
      <c r="C250">
        <v>0.248</v>
      </c>
      <c r="D250" t="s">
        <v>4204</v>
      </c>
    </row>
    <row r="251" spans="1:4" x14ac:dyDescent="0.25">
      <c r="A251" t="s">
        <v>528</v>
      </c>
      <c r="B251" t="s">
        <v>1428</v>
      </c>
      <c r="C251">
        <v>0.249</v>
      </c>
      <c r="D251" t="s">
        <v>4204</v>
      </c>
    </row>
    <row r="252" spans="1:4" x14ac:dyDescent="0.25">
      <c r="A252" t="s">
        <v>529</v>
      </c>
      <c r="B252" t="s">
        <v>1429</v>
      </c>
      <c r="C252">
        <v>0.25</v>
      </c>
      <c r="D252" t="s">
        <v>4204</v>
      </c>
    </row>
    <row r="253" spans="1:4" x14ac:dyDescent="0.25">
      <c r="A253" t="s">
        <v>530</v>
      </c>
      <c r="B253" t="s">
        <v>1430</v>
      </c>
      <c r="C253">
        <v>0.251</v>
      </c>
      <c r="D253" t="s">
        <v>4204</v>
      </c>
    </row>
    <row r="254" spans="1:4" x14ac:dyDescent="0.25">
      <c r="A254" t="s">
        <v>531</v>
      </c>
      <c r="B254" t="s">
        <v>1431</v>
      </c>
      <c r="C254">
        <v>0.252</v>
      </c>
      <c r="D254" t="s">
        <v>4204</v>
      </c>
    </row>
    <row r="255" spans="1:4" x14ac:dyDescent="0.25">
      <c r="A255" t="s">
        <v>532</v>
      </c>
      <c r="B255" t="s">
        <v>1432</v>
      </c>
      <c r="C255">
        <v>0.253</v>
      </c>
      <c r="D255" t="s">
        <v>4204</v>
      </c>
    </row>
    <row r="256" spans="1:4" x14ac:dyDescent="0.25">
      <c r="A256" t="s">
        <v>533</v>
      </c>
      <c r="B256" t="s">
        <v>1433</v>
      </c>
      <c r="C256">
        <v>0.254</v>
      </c>
      <c r="D256" t="s">
        <v>4204</v>
      </c>
    </row>
    <row r="257" spans="1:4" x14ac:dyDescent="0.25">
      <c r="A257" t="s">
        <v>534</v>
      </c>
      <c r="B257" t="s">
        <v>1434</v>
      </c>
      <c r="C257">
        <v>0.255</v>
      </c>
      <c r="D257" t="s">
        <v>4204</v>
      </c>
    </row>
    <row r="258" spans="1:4" x14ac:dyDescent="0.25">
      <c r="A258" t="s">
        <v>535</v>
      </c>
      <c r="B258" t="s">
        <v>1435</v>
      </c>
      <c r="C258">
        <v>0.25600000000000001</v>
      </c>
      <c r="D258" t="s">
        <v>4204</v>
      </c>
    </row>
    <row r="259" spans="1:4" x14ac:dyDescent="0.25">
      <c r="A259" t="s">
        <v>536</v>
      </c>
      <c r="B259" t="s">
        <v>1436</v>
      </c>
      <c r="C259">
        <v>0.25700000000000001</v>
      </c>
      <c r="D259" t="s">
        <v>4204</v>
      </c>
    </row>
    <row r="260" spans="1:4" x14ac:dyDescent="0.25">
      <c r="A260" t="s">
        <v>537</v>
      </c>
      <c r="B260" t="s">
        <v>1437</v>
      </c>
      <c r="C260">
        <v>0.25800000000000001</v>
      </c>
      <c r="D260" t="s">
        <v>4204</v>
      </c>
    </row>
    <row r="261" spans="1:4" x14ac:dyDescent="0.25">
      <c r="A261" t="s">
        <v>538</v>
      </c>
      <c r="B261" t="s">
        <v>1438</v>
      </c>
      <c r="C261">
        <v>0.25900000000000001</v>
      </c>
      <c r="D261" t="s">
        <v>4204</v>
      </c>
    </row>
    <row r="262" spans="1:4" x14ac:dyDescent="0.25">
      <c r="A262" t="s">
        <v>539</v>
      </c>
      <c r="B262" t="s">
        <v>1439</v>
      </c>
      <c r="C262">
        <v>0.26</v>
      </c>
      <c r="D262" t="s">
        <v>4204</v>
      </c>
    </row>
    <row r="263" spans="1:4" x14ac:dyDescent="0.25">
      <c r="A263" t="s">
        <v>540</v>
      </c>
      <c r="B263" t="s">
        <v>1440</v>
      </c>
      <c r="C263">
        <v>0.26100000000000001</v>
      </c>
      <c r="D263" t="s">
        <v>4204</v>
      </c>
    </row>
    <row r="264" spans="1:4" x14ac:dyDescent="0.25">
      <c r="A264" t="s">
        <v>541</v>
      </c>
      <c r="B264" t="s">
        <v>1441</v>
      </c>
      <c r="C264">
        <v>0.26200000000000001</v>
      </c>
      <c r="D264" t="s">
        <v>4204</v>
      </c>
    </row>
    <row r="265" spans="1:4" x14ac:dyDescent="0.25">
      <c r="A265" t="s">
        <v>542</v>
      </c>
      <c r="B265" t="s">
        <v>1442</v>
      </c>
      <c r="C265">
        <v>0.26300000000000001</v>
      </c>
      <c r="D265" t="s">
        <v>4204</v>
      </c>
    </row>
    <row r="266" spans="1:4" x14ac:dyDescent="0.25">
      <c r="A266" t="s">
        <v>543</v>
      </c>
      <c r="B266" t="s">
        <v>1443</v>
      </c>
      <c r="C266">
        <v>0.26400000000000001</v>
      </c>
      <c r="D266" t="s">
        <v>4204</v>
      </c>
    </row>
    <row r="267" spans="1:4" x14ac:dyDescent="0.25">
      <c r="A267" t="s">
        <v>544</v>
      </c>
      <c r="B267" t="s">
        <v>1444</v>
      </c>
      <c r="C267">
        <v>0.26500000000000001</v>
      </c>
      <c r="D267" t="s">
        <v>4204</v>
      </c>
    </row>
    <row r="268" spans="1:4" x14ac:dyDescent="0.25">
      <c r="A268" t="s">
        <v>545</v>
      </c>
      <c r="B268" t="s">
        <v>1445</v>
      </c>
      <c r="C268">
        <v>0.26600000000000001</v>
      </c>
      <c r="D268" t="s">
        <v>4204</v>
      </c>
    </row>
    <row r="269" spans="1:4" x14ac:dyDescent="0.25">
      <c r="A269" t="s">
        <v>546</v>
      </c>
      <c r="B269" t="s">
        <v>1446</v>
      </c>
      <c r="C269">
        <v>0.26700000000000002</v>
      </c>
      <c r="D269" t="s">
        <v>4204</v>
      </c>
    </row>
    <row r="270" spans="1:4" x14ac:dyDescent="0.25">
      <c r="A270" t="s">
        <v>547</v>
      </c>
      <c r="B270" t="s">
        <v>1447</v>
      </c>
      <c r="C270">
        <v>0.26800000000000002</v>
      </c>
      <c r="D270" t="s">
        <v>4204</v>
      </c>
    </row>
    <row r="271" spans="1:4" x14ac:dyDescent="0.25">
      <c r="A271" t="s">
        <v>548</v>
      </c>
      <c r="B271" t="s">
        <v>1448</v>
      </c>
      <c r="C271">
        <v>0.26900000000000002</v>
      </c>
      <c r="D271" t="s">
        <v>4204</v>
      </c>
    </row>
    <row r="272" spans="1:4" x14ac:dyDescent="0.25">
      <c r="A272" t="s">
        <v>549</v>
      </c>
      <c r="B272" t="s">
        <v>1449</v>
      </c>
      <c r="C272">
        <v>0.27</v>
      </c>
      <c r="D272" t="s">
        <v>4204</v>
      </c>
    </row>
    <row r="273" spans="1:4" x14ac:dyDescent="0.25">
      <c r="A273" t="s">
        <v>550</v>
      </c>
      <c r="B273" t="s">
        <v>1450</v>
      </c>
      <c r="C273">
        <v>0.27100000000000002</v>
      </c>
      <c r="D273" t="s">
        <v>4204</v>
      </c>
    </row>
    <row r="274" spans="1:4" x14ac:dyDescent="0.25">
      <c r="A274" t="s">
        <v>551</v>
      </c>
      <c r="B274" t="s">
        <v>1451</v>
      </c>
      <c r="C274">
        <v>0.27200000000000002</v>
      </c>
      <c r="D274" t="s">
        <v>4204</v>
      </c>
    </row>
    <row r="275" spans="1:4" x14ac:dyDescent="0.25">
      <c r="A275" t="s">
        <v>552</v>
      </c>
      <c r="B275" t="s">
        <v>1452</v>
      </c>
      <c r="C275">
        <v>0.27300000000000002</v>
      </c>
      <c r="D275" t="s">
        <v>4204</v>
      </c>
    </row>
    <row r="276" spans="1:4" x14ac:dyDescent="0.25">
      <c r="A276" t="s">
        <v>553</v>
      </c>
      <c r="B276" t="s">
        <v>1453</v>
      </c>
      <c r="C276">
        <v>0.27400000000000002</v>
      </c>
      <c r="D276" t="s">
        <v>4204</v>
      </c>
    </row>
    <row r="277" spans="1:4" x14ac:dyDescent="0.25">
      <c r="A277" t="s">
        <v>554</v>
      </c>
      <c r="B277" t="s">
        <v>1454</v>
      </c>
      <c r="C277">
        <v>0.27500000000000002</v>
      </c>
      <c r="D277" t="s">
        <v>4204</v>
      </c>
    </row>
    <row r="278" spans="1:4" x14ac:dyDescent="0.25">
      <c r="A278" t="s">
        <v>555</v>
      </c>
      <c r="B278" t="s">
        <v>1455</v>
      </c>
      <c r="C278">
        <v>0.27600000000000002</v>
      </c>
      <c r="D278" t="s">
        <v>4204</v>
      </c>
    </row>
    <row r="279" spans="1:4" x14ac:dyDescent="0.25">
      <c r="A279" t="s">
        <v>556</v>
      </c>
      <c r="B279" t="s">
        <v>1456</v>
      </c>
      <c r="C279">
        <v>0.27700000000000002</v>
      </c>
      <c r="D279" t="s">
        <v>4204</v>
      </c>
    </row>
    <row r="280" spans="1:4" x14ac:dyDescent="0.25">
      <c r="A280" t="s">
        <v>557</v>
      </c>
      <c r="B280" t="s">
        <v>1457</v>
      </c>
      <c r="C280">
        <v>0.27800000000000002</v>
      </c>
      <c r="D280" t="s">
        <v>4204</v>
      </c>
    </row>
    <row r="281" spans="1:4" x14ac:dyDescent="0.25">
      <c r="A281" t="s">
        <v>558</v>
      </c>
      <c r="B281" t="s">
        <v>1458</v>
      </c>
      <c r="C281">
        <v>0.27900000000000003</v>
      </c>
      <c r="D281" t="s">
        <v>4204</v>
      </c>
    </row>
    <row r="282" spans="1:4" x14ac:dyDescent="0.25">
      <c r="A282" t="s">
        <v>559</v>
      </c>
      <c r="B282" t="s">
        <v>1459</v>
      </c>
      <c r="C282">
        <v>0.28000000000000003</v>
      </c>
      <c r="D282" t="s">
        <v>4204</v>
      </c>
    </row>
    <row r="283" spans="1:4" x14ac:dyDescent="0.25">
      <c r="A283" t="s">
        <v>560</v>
      </c>
      <c r="B283" t="s">
        <v>1460</v>
      </c>
      <c r="C283">
        <v>0.28100000000000003</v>
      </c>
      <c r="D283" t="s">
        <v>4204</v>
      </c>
    </row>
    <row r="284" spans="1:4" x14ac:dyDescent="0.25">
      <c r="A284" t="s">
        <v>561</v>
      </c>
      <c r="B284" t="s">
        <v>1461</v>
      </c>
      <c r="C284">
        <v>0.28199999999999997</v>
      </c>
      <c r="D284" t="s">
        <v>4204</v>
      </c>
    </row>
    <row r="285" spans="1:4" x14ac:dyDescent="0.25">
      <c r="A285" t="s">
        <v>562</v>
      </c>
      <c r="B285" t="s">
        <v>1462</v>
      </c>
      <c r="C285">
        <v>0.28299999999999997</v>
      </c>
      <c r="D285" t="s">
        <v>4204</v>
      </c>
    </row>
    <row r="286" spans="1:4" x14ac:dyDescent="0.25">
      <c r="A286" t="s">
        <v>563</v>
      </c>
      <c r="B286" t="s">
        <v>1463</v>
      </c>
      <c r="C286">
        <v>0.28399999999999997</v>
      </c>
      <c r="D286" t="s">
        <v>4204</v>
      </c>
    </row>
    <row r="287" spans="1:4" x14ac:dyDescent="0.25">
      <c r="A287" t="s">
        <v>564</v>
      </c>
      <c r="B287" t="s">
        <v>1464</v>
      </c>
      <c r="C287">
        <v>0.28499999999999998</v>
      </c>
      <c r="D287" t="s">
        <v>4204</v>
      </c>
    </row>
    <row r="288" spans="1:4" x14ac:dyDescent="0.25">
      <c r="A288" t="s">
        <v>565</v>
      </c>
      <c r="B288" t="s">
        <v>1465</v>
      </c>
      <c r="C288">
        <v>0.28599999999999998</v>
      </c>
      <c r="D288" t="s">
        <v>4204</v>
      </c>
    </row>
    <row r="289" spans="1:4" x14ac:dyDescent="0.25">
      <c r="A289" t="s">
        <v>566</v>
      </c>
      <c r="B289" t="s">
        <v>1466</v>
      </c>
      <c r="C289">
        <v>0.28699999999999998</v>
      </c>
      <c r="D289" t="s">
        <v>4204</v>
      </c>
    </row>
    <row r="290" spans="1:4" x14ac:dyDescent="0.25">
      <c r="A290" t="s">
        <v>567</v>
      </c>
      <c r="B290" t="s">
        <v>1467</v>
      </c>
      <c r="C290">
        <v>0.28799999999999998</v>
      </c>
      <c r="D290" t="s">
        <v>4204</v>
      </c>
    </row>
    <row r="291" spans="1:4" x14ac:dyDescent="0.25">
      <c r="A291" t="s">
        <v>568</v>
      </c>
      <c r="B291" t="s">
        <v>1468</v>
      </c>
      <c r="C291">
        <v>0.28899999999999998</v>
      </c>
      <c r="D291" t="s">
        <v>4204</v>
      </c>
    </row>
    <row r="292" spans="1:4" x14ac:dyDescent="0.25">
      <c r="A292" t="s">
        <v>569</v>
      </c>
      <c r="B292" t="s">
        <v>1469</v>
      </c>
      <c r="C292">
        <v>0.28999999999999998</v>
      </c>
      <c r="D292" t="s">
        <v>4204</v>
      </c>
    </row>
    <row r="293" spans="1:4" x14ac:dyDescent="0.25">
      <c r="A293" t="s">
        <v>570</v>
      </c>
      <c r="B293" t="s">
        <v>1470</v>
      </c>
      <c r="C293">
        <v>0.29099999999999998</v>
      </c>
      <c r="D293" t="s">
        <v>4204</v>
      </c>
    </row>
    <row r="294" spans="1:4" x14ac:dyDescent="0.25">
      <c r="A294" t="s">
        <v>571</v>
      </c>
      <c r="B294" t="s">
        <v>1471</v>
      </c>
      <c r="C294">
        <v>0.29199999999999998</v>
      </c>
      <c r="D294" t="s">
        <v>4204</v>
      </c>
    </row>
    <row r="295" spans="1:4" x14ac:dyDescent="0.25">
      <c r="A295" t="s">
        <v>572</v>
      </c>
      <c r="B295" t="s">
        <v>1472</v>
      </c>
      <c r="C295">
        <v>0.29299999999999998</v>
      </c>
      <c r="D295" t="s">
        <v>4204</v>
      </c>
    </row>
    <row r="296" spans="1:4" x14ac:dyDescent="0.25">
      <c r="A296" t="s">
        <v>573</v>
      </c>
      <c r="B296" t="s">
        <v>1473</v>
      </c>
      <c r="C296">
        <v>0.29399999999999998</v>
      </c>
      <c r="D296" t="s">
        <v>4204</v>
      </c>
    </row>
    <row r="297" spans="1:4" x14ac:dyDescent="0.25">
      <c r="A297" t="s">
        <v>574</v>
      </c>
      <c r="B297" t="s">
        <v>1474</v>
      </c>
      <c r="C297">
        <v>0.29499999999999998</v>
      </c>
      <c r="D297" t="s">
        <v>4204</v>
      </c>
    </row>
    <row r="298" spans="1:4" x14ac:dyDescent="0.25">
      <c r="A298" t="s">
        <v>575</v>
      </c>
      <c r="B298" t="s">
        <v>1475</v>
      </c>
      <c r="C298">
        <v>0.29599999999999999</v>
      </c>
      <c r="D298" t="s">
        <v>4204</v>
      </c>
    </row>
    <row r="299" spans="1:4" x14ac:dyDescent="0.25">
      <c r="A299" t="s">
        <v>576</v>
      </c>
      <c r="B299" t="s">
        <v>1476</v>
      </c>
      <c r="C299">
        <v>0.29699999999999999</v>
      </c>
      <c r="D299" t="s">
        <v>4204</v>
      </c>
    </row>
    <row r="300" spans="1:4" x14ac:dyDescent="0.25">
      <c r="A300" t="s">
        <v>577</v>
      </c>
      <c r="B300" t="s">
        <v>1477</v>
      </c>
      <c r="C300">
        <v>0.29799999999999999</v>
      </c>
      <c r="D300" t="s">
        <v>4204</v>
      </c>
    </row>
    <row r="301" spans="1:4" x14ac:dyDescent="0.25">
      <c r="A301" t="s">
        <v>578</v>
      </c>
      <c r="B301" t="s">
        <v>1478</v>
      </c>
      <c r="C301">
        <v>0.29899999999999999</v>
      </c>
      <c r="D301" t="s">
        <v>4204</v>
      </c>
    </row>
    <row r="302" spans="1:4" x14ac:dyDescent="0.25">
      <c r="A302" t="s">
        <v>579</v>
      </c>
      <c r="B302" t="s">
        <v>1479</v>
      </c>
      <c r="C302">
        <v>0.3</v>
      </c>
      <c r="D302" t="s">
        <v>4204</v>
      </c>
    </row>
    <row r="303" spans="1:4" x14ac:dyDescent="0.25">
      <c r="A303" t="s">
        <v>580</v>
      </c>
      <c r="B303" t="s">
        <v>1480</v>
      </c>
      <c r="C303">
        <v>0.30099999999999999</v>
      </c>
      <c r="D303" t="s">
        <v>4204</v>
      </c>
    </row>
    <row r="304" spans="1:4" x14ac:dyDescent="0.25">
      <c r="A304" t="s">
        <v>581</v>
      </c>
      <c r="B304" t="s">
        <v>1481</v>
      </c>
      <c r="C304">
        <v>0.30199999999999999</v>
      </c>
      <c r="D304" t="s">
        <v>4204</v>
      </c>
    </row>
    <row r="305" spans="1:4" x14ac:dyDescent="0.25">
      <c r="A305" t="s">
        <v>582</v>
      </c>
      <c r="B305" t="s">
        <v>1482</v>
      </c>
      <c r="C305">
        <v>0.30299999999999999</v>
      </c>
      <c r="D305" t="s">
        <v>4204</v>
      </c>
    </row>
    <row r="306" spans="1:4" x14ac:dyDescent="0.25">
      <c r="A306" t="s">
        <v>583</v>
      </c>
      <c r="B306" t="s">
        <v>1483</v>
      </c>
      <c r="C306">
        <v>0.30399999999999999</v>
      </c>
      <c r="D306" t="s">
        <v>4204</v>
      </c>
    </row>
    <row r="307" spans="1:4" x14ac:dyDescent="0.25">
      <c r="A307" t="s">
        <v>584</v>
      </c>
      <c r="B307" t="s">
        <v>1484</v>
      </c>
      <c r="C307">
        <v>0.30499999999999999</v>
      </c>
      <c r="D307" t="s">
        <v>4204</v>
      </c>
    </row>
    <row r="308" spans="1:4" x14ac:dyDescent="0.25">
      <c r="A308" t="s">
        <v>585</v>
      </c>
      <c r="B308" t="s">
        <v>1485</v>
      </c>
      <c r="C308">
        <v>0.30599999999999999</v>
      </c>
      <c r="D308" t="s">
        <v>4204</v>
      </c>
    </row>
    <row r="309" spans="1:4" x14ac:dyDescent="0.25">
      <c r="A309" t="s">
        <v>586</v>
      </c>
      <c r="B309" t="s">
        <v>1486</v>
      </c>
      <c r="C309">
        <v>0.307</v>
      </c>
      <c r="D309" t="s">
        <v>4204</v>
      </c>
    </row>
    <row r="310" spans="1:4" x14ac:dyDescent="0.25">
      <c r="A310" t="s">
        <v>587</v>
      </c>
      <c r="B310" t="s">
        <v>1487</v>
      </c>
      <c r="C310">
        <v>0.308</v>
      </c>
      <c r="D310" t="s">
        <v>4204</v>
      </c>
    </row>
    <row r="311" spans="1:4" x14ac:dyDescent="0.25">
      <c r="A311" t="s">
        <v>588</v>
      </c>
      <c r="B311" t="s">
        <v>1488</v>
      </c>
      <c r="C311">
        <v>0.309</v>
      </c>
      <c r="D311" t="s">
        <v>4204</v>
      </c>
    </row>
    <row r="312" spans="1:4" x14ac:dyDescent="0.25">
      <c r="A312" t="s">
        <v>589</v>
      </c>
      <c r="B312" t="s">
        <v>1489</v>
      </c>
      <c r="C312">
        <v>0.31</v>
      </c>
      <c r="D312" t="s">
        <v>4204</v>
      </c>
    </row>
    <row r="313" spans="1:4" x14ac:dyDescent="0.25">
      <c r="A313" t="s">
        <v>590</v>
      </c>
      <c r="B313" t="s">
        <v>1490</v>
      </c>
      <c r="C313">
        <v>0.311</v>
      </c>
      <c r="D313" t="s">
        <v>4204</v>
      </c>
    </row>
    <row r="314" spans="1:4" x14ac:dyDescent="0.25">
      <c r="A314" t="s">
        <v>591</v>
      </c>
      <c r="B314" t="s">
        <v>1491</v>
      </c>
      <c r="C314">
        <v>0.312</v>
      </c>
      <c r="D314" t="s">
        <v>4204</v>
      </c>
    </row>
    <row r="315" spans="1:4" x14ac:dyDescent="0.25">
      <c r="A315" t="s">
        <v>592</v>
      </c>
      <c r="B315" t="s">
        <v>1492</v>
      </c>
      <c r="C315">
        <v>0.313</v>
      </c>
      <c r="D315" t="s">
        <v>4204</v>
      </c>
    </row>
    <row r="316" spans="1:4" x14ac:dyDescent="0.25">
      <c r="A316" t="s">
        <v>593</v>
      </c>
      <c r="B316" t="s">
        <v>1493</v>
      </c>
      <c r="C316">
        <v>0.314</v>
      </c>
      <c r="D316" t="s">
        <v>4204</v>
      </c>
    </row>
    <row r="317" spans="1:4" x14ac:dyDescent="0.25">
      <c r="A317" t="s">
        <v>594</v>
      </c>
      <c r="B317" t="s">
        <v>1494</v>
      </c>
      <c r="C317">
        <v>0.315</v>
      </c>
      <c r="D317" t="s">
        <v>4204</v>
      </c>
    </row>
    <row r="318" spans="1:4" x14ac:dyDescent="0.25">
      <c r="A318" t="s">
        <v>595</v>
      </c>
      <c r="B318" t="s">
        <v>1495</v>
      </c>
      <c r="C318">
        <v>0.316</v>
      </c>
      <c r="D318" t="s">
        <v>4204</v>
      </c>
    </row>
    <row r="319" spans="1:4" x14ac:dyDescent="0.25">
      <c r="A319" t="s">
        <v>596</v>
      </c>
      <c r="B319" t="s">
        <v>1496</v>
      </c>
      <c r="C319">
        <v>0.317</v>
      </c>
      <c r="D319" t="s">
        <v>4204</v>
      </c>
    </row>
    <row r="320" spans="1:4" x14ac:dyDescent="0.25">
      <c r="A320" t="s">
        <v>597</v>
      </c>
      <c r="B320" t="s">
        <v>1497</v>
      </c>
      <c r="C320">
        <v>0.318</v>
      </c>
      <c r="D320" t="s">
        <v>4204</v>
      </c>
    </row>
    <row r="321" spans="1:4" x14ac:dyDescent="0.25">
      <c r="A321" t="s">
        <v>598</v>
      </c>
      <c r="B321" t="s">
        <v>1498</v>
      </c>
      <c r="C321">
        <v>0.31900000000000001</v>
      </c>
      <c r="D321" t="s">
        <v>4204</v>
      </c>
    </row>
    <row r="322" spans="1:4" x14ac:dyDescent="0.25">
      <c r="A322" t="s">
        <v>599</v>
      </c>
      <c r="B322" t="s">
        <v>1499</v>
      </c>
      <c r="C322">
        <v>0.32</v>
      </c>
      <c r="D322" t="s">
        <v>4204</v>
      </c>
    </row>
    <row r="323" spans="1:4" x14ac:dyDescent="0.25">
      <c r="A323" t="s">
        <v>600</v>
      </c>
      <c r="B323" t="s">
        <v>1500</v>
      </c>
      <c r="C323">
        <v>0.32100000000000001</v>
      </c>
      <c r="D323" t="s">
        <v>4204</v>
      </c>
    </row>
    <row r="324" spans="1:4" x14ac:dyDescent="0.25">
      <c r="A324" t="s">
        <v>601</v>
      </c>
      <c r="B324" t="s">
        <v>1501</v>
      </c>
      <c r="C324">
        <v>0.32200000000000001</v>
      </c>
      <c r="D324" t="s">
        <v>4204</v>
      </c>
    </row>
    <row r="325" spans="1:4" x14ac:dyDescent="0.25">
      <c r="A325" t="s">
        <v>602</v>
      </c>
      <c r="B325" t="s">
        <v>1502</v>
      </c>
      <c r="C325">
        <v>0.32300000000000001</v>
      </c>
      <c r="D325" t="s">
        <v>4204</v>
      </c>
    </row>
    <row r="326" spans="1:4" x14ac:dyDescent="0.25">
      <c r="A326" t="s">
        <v>603</v>
      </c>
      <c r="B326" t="s">
        <v>1503</v>
      </c>
      <c r="C326">
        <v>0.32400000000000001</v>
      </c>
      <c r="D326" t="s">
        <v>4204</v>
      </c>
    </row>
    <row r="327" spans="1:4" x14ac:dyDescent="0.25">
      <c r="A327" t="s">
        <v>604</v>
      </c>
      <c r="B327" t="s">
        <v>1504</v>
      </c>
      <c r="C327">
        <v>0.32500000000000001</v>
      </c>
      <c r="D327" t="s">
        <v>4204</v>
      </c>
    </row>
    <row r="328" spans="1:4" x14ac:dyDescent="0.25">
      <c r="A328" t="s">
        <v>605</v>
      </c>
      <c r="B328" t="s">
        <v>1505</v>
      </c>
      <c r="C328">
        <v>0.32600000000000001</v>
      </c>
      <c r="D328" t="s">
        <v>4204</v>
      </c>
    </row>
    <row r="329" spans="1:4" x14ac:dyDescent="0.25">
      <c r="A329" t="s">
        <v>606</v>
      </c>
      <c r="B329" t="s">
        <v>1506</v>
      </c>
      <c r="C329">
        <v>0.32700000000000001</v>
      </c>
      <c r="D329" t="s">
        <v>4204</v>
      </c>
    </row>
    <row r="330" spans="1:4" x14ac:dyDescent="0.25">
      <c r="A330" t="s">
        <v>607</v>
      </c>
      <c r="B330" t="s">
        <v>1507</v>
      </c>
      <c r="C330">
        <v>0.32800000000000001</v>
      </c>
      <c r="D330" t="s">
        <v>4204</v>
      </c>
    </row>
    <row r="331" spans="1:4" x14ac:dyDescent="0.25">
      <c r="A331" t="s">
        <v>608</v>
      </c>
      <c r="B331" t="s">
        <v>1508</v>
      </c>
      <c r="C331">
        <v>0.32900000000000001</v>
      </c>
      <c r="D331" t="s">
        <v>4204</v>
      </c>
    </row>
    <row r="332" spans="1:4" x14ac:dyDescent="0.25">
      <c r="A332" t="s">
        <v>609</v>
      </c>
      <c r="B332" t="s">
        <v>1509</v>
      </c>
      <c r="C332">
        <v>0.33</v>
      </c>
      <c r="D332" t="s">
        <v>4204</v>
      </c>
    </row>
    <row r="333" spans="1:4" x14ac:dyDescent="0.25">
      <c r="A333" t="s">
        <v>610</v>
      </c>
      <c r="B333" t="s">
        <v>1510</v>
      </c>
      <c r="C333">
        <v>0.33100000000000002</v>
      </c>
      <c r="D333" t="s">
        <v>4204</v>
      </c>
    </row>
    <row r="334" spans="1:4" x14ac:dyDescent="0.25">
      <c r="A334" t="s">
        <v>611</v>
      </c>
      <c r="B334" t="s">
        <v>1511</v>
      </c>
      <c r="C334">
        <v>0.33200000000000002</v>
      </c>
      <c r="D334" t="s">
        <v>4204</v>
      </c>
    </row>
    <row r="335" spans="1:4" x14ac:dyDescent="0.25">
      <c r="A335" t="s">
        <v>612</v>
      </c>
      <c r="B335" t="s">
        <v>1512</v>
      </c>
      <c r="C335">
        <v>0.33300000000000002</v>
      </c>
      <c r="D335" t="s">
        <v>4204</v>
      </c>
    </row>
    <row r="336" spans="1:4" x14ac:dyDescent="0.25">
      <c r="A336" t="s">
        <v>613</v>
      </c>
      <c r="B336" t="s">
        <v>1513</v>
      </c>
      <c r="C336">
        <v>0.33400000000000002</v>
      </c>
      <c r="D336" t="s">
        <v>4204</v>
      </c>
    </row>
    <row r="337" spans="1:4" x14ac:dyDescent="0.25">
      <c r="A337" t="s">
        <v>614</v>
      </c>
      <c r="B337" t="s">
        <v>1514</v>
      </c>
      <c r="C337">
        <v>0.33500000000000002</v>
      </c>
      <c r="D337" t="s">
        <v>4204</v>
      </c>
    </row>
    <row r="338" spans="1:4" x14ac:dyDescent="0.25">
      <c r="A338" t="s">
        <v>615</v>
      </c>
      <c r="B338" t="s">
        <v>1515</v>
      </c>
      <c r="C338">
        <v>0.33600000000000002</v>
      </c>
      <c r="D338" t="s">
        <v>4204</v>
      </c>
    </row>
    <row r="339" spans="1:4" x14ac:dyDescent="0.25">
      <c r="A339" t="s">
        <v>616</v>
      </c>
      <c r="B339" t="s">
        <v>1516</v>
      </c>
      <c r="C339">
        <v>0.33700000000000002</v>
      </c>
      <c r="D339" t="s">
        <v>4204</v>
      </c>
    </row>
    <row r="340" spans="1:4" x14ac:dyDescent="0.25">
      <c r="A340" t="s">
        <v>617</v>
      </c>
      <c r="B340" t="s">
        <v>1517</v>
      </c>
      <c r="C340">
        <v>0.33800000000000002</v>
      </c>
      <c r="D340" t="s">
        <v>4204</v>
      </c>
    </row>
    <row r="341" spans="1:4" x14ac:dyDescent="0.25">
      <c r="A341" t="s">
        <v>618</v>
      </c>
      <c r="B341" t="s">
        <v>1518</v>
      </c>
      <c r="C341">
        <v>0.33900000000000002</v>
      </c>
      <c r="D341" t="s">
        <v>4204</v>
      </c>
    </row>
    <row r="342" spans="1:4" x14ac:dyDescent="0.25">
      <c r="A342" t="s">
        <v>619</v>
      </c>
      <c r="B342" t="s">
        <v>1519</v>
      </c>
      <c r="C342">
        <v>0.34</v>
      </c>
      <c r="D342" t="s">
        <v>4204</v>
      </c>
    </row>
    <row r="343" spans="1:4" x14ac:dyDescent="0.25">
      <c r="A343" t="s">
        <v>620</v>
      </c>
      <c r="B343" t="s">
        <v>1520</v>
      </c>
      <c r="C343">
        <v>0.34100000000000003</v>
      </c>
      <c r="D343" t="s">
        <v>4204</v>
      </c>
    </row>
    <row r="344" spans="1:4" x14ac:dyDescent="0.25">
      <c r="A344" t="s">
        <v>621</v>
      </c>
      <c r="B344" t="s">
        <v>1521</v>
      </c>
      <c r="C344">
        <v>0.34200000000000003</v>
      </c>
      <c r="D344" t="s">
        <v>4204</v>
      </c>
    </row>
    <row r="345" spans="1:4" x14ac:dyDescent="0.25">
      <c r="A345" t="s">
        <v>622</v>
      </c>
      <c r="B345" t="s">
        <v>1522</v>
      </c>
      <c r="C345">
        <v>0.34300000000000003</v>
      </c>
      <c r="D345" t="s">
        <v>4204</v>
      </c>
    </row>
    <row r="346" spans="1:4" x14ac:dyDescent="0.25">
      <c r="A346" t="s">
        <v>623</v>
      </c>
      <c r="B346" t="s">
        <v>1523</v>
      </c>
      <c r="C346">
        <v>0.34399999999999997</v>
      </c>
      <c r="D346" t="s">
        <v>4204</v>
      </c>
    </row>
    <row r="347" spans="1:4" x14ac:dyDescent="0.25">
      <c r="A347" t="s">
        <v>624</v>
      </c>
      <c r="B347" t="s">
        <v>1524</v>
      </c>
      <c r="C347">
        <v>0.34499999999999997</v>
      </c>
      <c r="D347" t="s">
        <v>4204</v>
      </c>
    </row>
    <row r="348" spans="1:4" x14ac:dyDescent="0.25">
      <c r="A348" t="s">
        <v>625</v>
      </c>
      <c r="B348" t="s">
        <v>1525</v>
      </c>
      <c r="C348">
        <v>0.34599999999999997</v>
      </c>
      <c r="D348" t="s">
        <v>4204</v>
      </c>
    </row>
    <row r="349" spans="1:4" x14ac:dyDescent="0.25">
      <c r="A349" t="s">
        <v>626</v>
      </c>
      <c r="B349" t="s">
        <v>1526</v>
      </c>
      <c r="C349">
        <v>0.34699999999999998</v>
      </c>
      <c r="D349" t="s">
        <v>4204</v>
      </c>
    </row>
    <row r="350" spans="1:4" x14ac:dyDescent="0.25">
      <c r="A350" t="s">
        <v>627</v>
      </c>
      <c r="B350" t="s">
        <v>1527</v>
      </c>
      <c r="C350">
        <v>0.34799999999999998</v>
      </c>
      <c r="D350" t="s">
        <v>4204</v>
      </c>
    </row>
    <row r="351" spans="1:4" x14ac:dyDescent="0.25">
      <c r="A351" t="s">
        <v>628</v>
      </c>
      <c r="B351" t="s">
        <v>1528</v>
      </c>
      <c r="C351">
        <v>0.34899999999999998</v>
      </c>
      <c r="D351" t="s">
        <v>4204</v>
      </c>
    </row>
    <row r="352" spans="1:4" x14ac:dyDescent="0.25">
      <c r="A352" t="s">
        <v>629</v>
      </c>
      <c r="B352" t="s">
        <v>1529</v>
      </c>
      <c r="C352">
        <v>0.35</v>
      </c>
      <c r="D352" t="s">
        <v>4204</v>
      </c>
    </row>
    <row r="353" spans="1:4" x14ac:dyDescent="0.25">
      <c r="A353" t="s">
        <v>630</v>
      </c>
      <c r="B353" t="s">
        <v>1530</v>
      </c>
      <c r="C353">
        <v>0.35099999999999998</v>
      </c>
      <c r="D353" t="s">
        <v>4204</v>
      </c>
    </row>
    <row r="354" spans="1:4" x14ac:dyDescent="0.25">
      <c r="A354" t="s">
        <v>631</v>
      </c>
      <c r="B354" t="s">
        <v>1531</v>
      </c>
      <c r="C354">
        <v>0.35199999999999998</v>
      </c>
      <c r="D354" t="s">
        <v>4204</v>
      </c>
    </row>
    <row r="355" spans="1:4" x14ac:dyDescent="0.25">
      <c r="A355" t="s">
        <v>632</v>
      </c>
      <c r="B355" t="s">
        <v>1532</v>
      </c>
      <c r="C355">
        <v>0.35299999999999998</v>
      </c>
      <c r="D355" t="s">
        <v>4204</v>
      </c>
    </row>
    <row r="356" spans="1:4" x14ac:dyDescent="0.25">
      <c r="A356" t="s">
        <v>633</v>
      </c>
      <c r="B356" t="s">
        <v>1533</v>
      </c>
      <c r="C356">
        <v>0.35399999999999998</v>
      </c>
      <c r="D356" t="s">
        <v>4204</v>
      </c>
    </row>
    <row r="357" spans="1:4" x14ac:dyDescent="0.25">
      <c r="A357" t="s">
        <v>634</v>
      </c>
      <c r="B357" t="s">
        <v>1534</v>
      </c>
      <c r="C357">
        <v>0.35499999999999998</v>
      </c>
      <c r="D357" t="s">
        <v>4204</v>
      </c>
    </row>
    <row r="358" spans="1:4" x14ac:dyDescent="0.25">
      <c r="A358" t="s">
        <v>635</v>
      </c>
      <c r="B358" t="s">
        <v>1535</v>
      </c>
      <c r="C358">
        <v>0.35599999999999998</v>
      </c>
      <c r="D358" t="s">
        <v>4204</v>
      </c>
    </row>
    <row r="359" spans="1:4" x14ac:dyDescent="0.25">
      <c r="A359" t="s">
        <v>636</v>
      </c>
      <c r="B359" t="s">
        <v>1536</v>
      </c>
      <c r="C359">
        <v>0.35699999999999998</v>
      </c>
      <c r="D359" t="s">
        <v>4204</v>
      </c>
    </row>
    <row r="360" spans="1:4" x14ac:dyDescent="0.25">
      <c r="A360" t="s">
        <v>637</v>
      </c>
      <c r="B360" t="s">
        <v>1537</v>
      </c>
      <c r="C360">
        <v>0.35799999999999998</v>
      </c>
      <c r="D360" t="s">
        <v>4204</v>
      </c>
    </row>
    <row r="361" spans="1:4" x14ac:dyDescent="0.25">
      <c r="A361" t="s">
        <v>638</v>
      </c>
      <c r="B361" t="s">
        <v>1538</v>
      </c>
      <c r="C361">
        <v>0.35899999999999999</v>
      </c>
      <c r="D361" t="s">
        <v>4204</v>
      </c>
    </row>
    <row r="362" spans="1:4" x14ac:dyDescent="0.25">
      <c r="A362" t="s">
        <v>639</v>
      </c>
      <c r="B362" t="s">
        <v>1539</v>
      </c>
      <c r="C362">
        <v>0.36</v>
      </c>
      <c r="D362" t="s">
        <v>4204</v>
      </c>
    </row>
    <row r="363" spans="1:4" x14ac:dyDescent="0.25">
      <c r="A363" t="s">
        <v>640</v>
      </c>
      <c r="B363" t="s">
        <v>1540</v>
      </c>
      <c r="C363">
        <v>0.36099999999999999</v>
      </c>
      <c r="D363" t="s">
        <v>4204</v>
      </c>
    </row>
    <row r="364" spans="1:4" x14ac:dyDescent="0.25">
      <c r="A364" t="s">
        <v>641</v>
      </c>
      <c r="B364" t="s">
        <v>1541</v>
      </c>
      <c r="C364">
        <v>0.36199999999999999</v>
      </c>
      <c r="D364" t="s">
        <v>4204</v>
      </c>
    </row>
    <row r="365" spans="1:4" x14ac:dyDescent="0.25">
      <c r="A365" t="s">
        <v>642</v>
      </c>
      <c r="B365" t="s">
        <v>1542</v>
      </c>
      <c r="C365">
        <v>0.36299999999999999</v>
      </c>
      <c r="D365" t="s">
        <v>4204</v>
      </c>
    </row>
    <row r="366" spans="1:4" x14ac:dyDescent="0.25">
      <c r="A366" t="s">
        <v>643</v>
      </c>
      <c r="B366" t="s">
        <v>1543</v>
      </c>
      <c r="C366">
        <v>0.36399999999999999</v>
      </c>
      <c r="D366" t="s">
        <v>4204</v>
      </c>
    </row>
    <row r="367" spans="1:4" x14ac:dyDescent="0.25">
      <c r="A367" t="s">
        <v>644</v>
      </c>
      <c r="B367" t="s">
        <v>1544</v>
      </c>
      <c r="C367">
        <v>0.36499999999999999</v>
      </c>
      <c r="D367" t="s">
        <v>4204</v>
      </c>
    </row>
    <row r="368" spans="1:4" x14ac:dyDescent="0.25">
      <c r="A368" t="s">
        <v>645</v>
      </c>
      <c r="B368" t="s">
        <v>1545</v>
      </c>
      <c r="C368">
        <v>0.36599999999999999</v>
      </c>
      <c r="D368" t="s">
        <v>4204</v>
      </c>
    </row>
    <row r="369" spans="1:4" x14ac:dyDescent="0.25">
      <c r="A369" t="s">
        <v>646</v>
      </c>
      <c r="B369" t="s">
        <v>1546</v>
      </c>
      <c r="C369">
        <v>0.36699999999999999</v>
      </c>
      <c r="D369" t="s">
        <v>4204</v>
      </c>
    </row>
    <row r="370" spans="1:4" x14ac:dyDescent="0.25">
      <c r="A370" t="s">
        <v>647</v>
      </c>
      <c r="B370" t="s">
        <v>1547</v>
      </c>
      <c r="C370">
        <v>0.36799999999999999</v>
      </c>
      <c r="D370" t="s">
        <v>4204</v>
      </c>
    </row>
    <row r="371" spans="1:4" x14ac:dyDescent="0.25">
      <c r="A371" t="s">
        <v>648</v>
      </c>
      <c r="B371" t="s">
        <v>1548</v>
      </c>
      <c r="C371">
        <v>0.36899999999999999</v>
      </c>
      <c r="D371" t="s">
        <v>4204</v>
      </c>
    </row>
    <row r="372" spans="1:4" x14ac:dyDescent="0.25">
      <c r="A372" t="s">
        <v>649</v>
      </c>
      <c r="B372" t="s">
        <v>1549</v>
      </c>
      <c r="C372">
        <v>0.37</v>
      </c>
      <c r="D372" t="s">
        <v>4204</v>
      </c>
    </row>
    <row r="373" spans="1:4" x14ac:dyDescent="0.25">
      <c r="A373" t="s">
        <v>650</v>
      </c>
      <c r="B373" t="s">
        <v>1550</v>
      </c>
      <c r="C373">
        <v>0.371</v>
      </c>
      <c r="D373" t="s">
        <v>4204</v>
      </c>
    </row>
    <row r="374" spans="1:4" x14ac:dyDescent="0.25">
      <c r="A374" t="s">
        <v>651</v>
      </c>
      <c r="B374" t="s">
        <v>1551</v>
      </c>
      <c r="C374">
        <v>0.372</v>
      </c>
      <c r="D374" t="s">
        <v>4204</v>
      </c>
    </row>
    <row r="375" spans="1:4" x14ac:dyDescent="0.25">
      <c r="A375" t="s">
        <v>652</v>
      </c>
      <c r="B375" t="s">
        <v>1552</v>
      </c>
      <c r="C375">
        <v>0.373</v>
      </c>
      <c r="D375" t="s">
        <v>4204</v>
      </c>
    </row>
    <row r="376" spans="1:4" x14ac:dyDescent="0.25">
      <c r="A376" t="s">
        <v>653</v>
      </c>
      <c r="B376" t="s">
        <v>1553</v>
      </c>
      <c r="C376">
        <v>0.374</v>
      </c>
      <c r="D376" t="s">
        <v>4204</v>
      </c>
    </row>
    <row r="377" spans="1:4" x14ac:dyDescent="0.25">
      <c r="A377" t="s">
        <v>654</v>
      </c>
      <c r="B377" t="s">
        <v>1554</v>
      </c>
      <c r="C377">
        <v>0.375</v>
      </c>
      <c r="D377" t="s">
        <v>4204</v>
      </c>
    </row>
    <row r="378" spans="1:4" x14ac:dyDescent="0.25">
      <c r="A378" t="s">
        <v>655</v>
      </c>
      <c r="B378" t="s">
        <v>1555</v>
      </c>
      <c r="C378">
        <v>0.376</v>
      </c>
      <c r="D378" t="s">
        <v>4204</v>
      </c>
    </row>
    <row r="379" spans="1:4" x14ac:dyDescent="0.25">
      <c r="A379" t="s">
        <v>656</v>
      </c>
      <c r="B379" t="s">
        <v>1556</v>
      </c>
      <c r="C379">
        <v>0.377</v>
      </c>
      <c r="D379" t="s">
        <v>4204</v>
      </c>
    </row>
    <row r="380" spans="1:4" x14ac:dyDescent="0.25">
      <c r="A380" t="s">
        <v>657</v>
      </c>
      <c r="B380" t="s">
        <v>1557</v>
      </c>
      <c r="C380">
        <v>0.378</v>
      </c>
      <c r="D380" t="s">
        <v>4204</v>
      </c>
    </row>
    <row r="381" spans="1:4" x14ac:dyDescent="0.25">
      <c r="A381" t="s">
        <v>658</v>
      </c>
      <c r="B381" t="s">
        <v>1558</v>
      </c>
      <c r="C381">
        <v>0.379</v>
      </c>
      <c r="D381" t="s">
        <v>4204</v>
      </c>
    </row>
    <row r="382" spans="1:4" x14ac:dyDescent="0.25">
      <c r="A382" t="s">
        <v>659</v>
      </c>
      <c r="B382" t="s">
        <v>1559</v>
      </c>
      <c r="C382">
        <v>0.38</v>
      </c>
      <c r="D382" t="s">
        <v>4204</v>
      </c>
    </row>
    <row r="383" spans="1:4" x14ac:dyDescent="0.25">
      <c r="A383" t="s">
        <v>660</v>
      </c>
      <c r="B383" t="s">
        <v>1560</v>
      </c>
      <c r="C383">
        <v>0.38100000000000001</v>
      </c>
      <c r="D383" t="s">
        <v>4204</v>
      </c>
    </row>
    <row r="384" spans="1:4" x14ac:dyDescent="0.25">
      <c r="A384" t="s">
        <v>661</v>
      </c>
      <c r="B384" t="s">
        <v>1561</v>
      </c>
      <c r="C384">
        <v>0.38200000000000001</v>
      </c>
      <c r="D384" t="s">
        <v>4204</v>
      </c>
    </row>
    <row r="385" spans="1:4" x14ac:dyDescent="0.25">
      <c r="A385" t="s">
        <v>662</v>
      </c>
      <c r="B385" t="s">
        <v>1562</v>
      </c>
      <c r="C385">
        <v>0.38300000000000001</v>
      </c>
      <c r="D385" t="s">
        <v>4204</v>
      </c>
    </row>
    <row r="386" spans="1:4" x14ac:dyDescent="0.25">
      <c r="A386" t="s">
        <v>663</v>
      </c>
      <c r="B386" t="s">
        <v>1563</v>
      </c>
      <c r="C386">
        <v>0.38400000000000001</v>
      </c>
      <c r="D386" t="s">
        <v>4204</v>
      </c>
    </row>
    <row r="387" spans="1:4" x14ac:dyDescent="0.25">
      <c r="A387" t="s">
        <v>664</v>
      </c>
      <c r="B387" t="s">
        <v>1564</v>
      </c>
      <c r="C387">
        <v>0.38500000000000001</v>
      </c>
      <c r="D387" t="s">
        <v>4204</v>
      </c>
    </row>
    <row r="388" spans="1:4" x14ac:dyDescent="0.25">
      <c r="A388" t="s">
        <v>665</v>
      </c>
      <c r="B388" t="s">
        <v>1565</v>
      </c>
      <c r="C388">
        <v>0.38600000000000001</v>
      </c>
      <c r="D388" t="s">
        <v>4204</v>
      </c>
    </row>
    <row r="389" spans="1:4" x14ac:dyDescent="0.25">
      <c r="A389" t="s">
        <v>666</v>
      </c>
      <c r="B389" t="s">
        <v>1566</v>
      </c>
      <c r="C389">
        <v>0.38700000000000001</v>
      </c>
      <c r="D389" t="s">
        <v>4204</v>
      </c>
    </row>
    <row r="390" spans="1:4" x14ac:dyDescent="0.25">
      <c r="A390" t="s">
        <v>667</v>
      </c>
      <c r="B390" t="s">
        <v>1567</v>
      </c>
      <c r="C390">
        <v>0.38800000000000001</v>
      </c>
      <c r="D390" t="s">
        <v>4204</v>
      </c>
    </row>
    <row r="391" spans="1:4" x14ac:dyDescent="0.25">
      <c r="A391" t="s">
        <v>668</v>
      </c>
      <c r="B391" t="s">
        <v>1568</v>
      </c>
      <c r="C391">
        <v>0.38900000000000001</v>
      </c>
      <c r="D391" t="s">
        <v>4204</v>
      </c>
    </row>
    <row r="392" spans="1:4" x14ac:dyDescent="0.25">
      <c r="A392" t="s">
        <v>669</v>
      </c>
      <c r="B392" t="s">
        <v>1569</v>
      </c>
      <c r="C392">
        <v>0.39</v>
      </c>
      <c r="D392" t="s">
        <v>4204</v>
      </c>
    </row>
    <row r="393" spans="1:4" x14ac:dyDescent="0.25">
      <c r="A393" t="s">
        <v>670</v>
      </c>
      <c r="B393" t="s">
        <v>1570</v>
      </c>
      <c r="C393">
        <v>0.39100000000000001</v>
      </c>
      <c r="D393" t="s">
        <v>4204</v>
      </c>
    </row>
    <row r="394" spans="1:4" x14ac:dyDescent="0.25">
      <c r="A394" t="s">
        <v>671</v>
      </c>
      <c r="B394" t="s">
        <v>1571</v>
      </c>
      <c r="C394">
        <v>0.39200000000000002</v>
      </c>
      <c r="D394" t="s">
        <v>4204</v>
      </c>
    </row>
    <row r="395" spans="1:4" x14ac:dyDescent="0.25">
      <c r="A395" t="s">
        <v>672</v>
      </c>
      <c r="B395" t="s">
        <v>1572</v>
      </c>
      <c r="C395">
        <v>0.39300000000000002</v>
      </c>
      <c r="D395" t="s">
        <v>4204</v>
      </c>
    </row>
    <row r="396" spans="1:4" x14ac:dyDescent="0.25">
      <c r="A396" t="s">
        <v>673</v>
      </c>
      <c r="B396" t="s">
        <v>1573</v>
      </c>
      <c r="C396">
        <v>0.39400000000000002</v>
      </c>
      <c r="D396" t="s">
        <v>4204</v>
      </c>
    </row>
    <row r="397" spans="1:4" x14ac:dyDescent="0.25">
      <c r="A397" t="s">
        <v>674</v>
      </c>
      <c r="B397" t="s">
        <v>1574</v>
      </c>
      <c r="C397">
        <v>0.39500000000000002</v>
      </c>
      <c r="D397" t="s">
        <v>4204</v>
      </c>
    </row>
    <row r="398" spans="1:4" x14ac:dyDescent="0.25">
      <c r="A398" t="s">
        <v>675</v>
      </c>
      <c r="B398" t="s">
        <v>1575</v>
      </c>
      <c r="C398">
        <v>0.39600000000000002</v>
      </c>
      <c r="D398" t="s">
        <v>4204</v>
      </c>
    </row>
    <row r="399" spans="1:4" x14ac:dyDescent="0.25">
      <c r="A399" t="s">
        <v>676</v>
      </c>
      <c r="B399" t="s">
        <v>1576</v>
      </c>
      <c r="C399">
        <v>0.39700000000000002</v>
      </c>
      <c r="D399" t="s">
        <v>4204</v>
      </c>
    </row>
    <row r="400" spans="1:4" x14ac:dyDescent="0.25">
      <c r="A400" t="s">
        <v>677</v>
      </c>
      <c r="B400" t="s">
        <v>1577</v>
      </c>
      <c r="C400">
        <v>0.39800000000000002</v>
      </c>
      <c r="D400" t="s">
        <v>4204</v>
      </c>
    </row>
    <row r="401" spans="1:4" x14ac:dyDescent="0.25">
      <c r="A401" t="s">
        <v>678</v>
      </c>
      <c r="B401" t="s">
        <v>1578</v>
      </c>
      <c r="C401">
        <v>0.39900000000000002</v>
      </c>
      <c r="D401" t="s">
        <v>4204</v>
      </c>
    </row>
    <row r="402" spans="1:4" x14ac:dyDescent="0.25">
      <c r="A402" t="s">
        <v>679</v>
      </c>
      <c r="B402" t="s">
        <v>1579</v>
      </c>
      <c r="C402">
        <v>0.4</v>
      </c>
      <c r="D402" t="s">
        <v>4204</v>
      </c>
    </row>
    <row r="403" spans="1:4" x14ac:dyDescent="0.25">
      <c r="A403" t="s">
        <v>680</v>
      </c>
      <c r="B403" t="s">
        <v>1580</v>
      </c>
      <c r="C403">
        <v>0.40100000000000002</v>
      </c>
      <c r="D403" t="s">
        <v>4204</v>
      </c>
    </row>
    <row r="404" spans="1:4" x14ac:dyDescent="0.25">
      <c r="A404" t="s">
        <v>681</v>
      </c>
      <c r="B404" t="s">
        <v>1581</v>
      </c>
      <c r="C404">
        <v>0.40200000000000002</v>
      </c>
      <c r="D404" t="s">
        <v>4204</v>
      </c>
    </row>
    <row r="405" spans="1:4" x14ac:dyDescent="0.25">
      <c r="A405" t="s">
        <v>682</v>
      </c>
      <c r="B405" t="s">
        <v>1582</v>
      </c>
      <c r="C405">
        <v>0.40300000000000002</v>
      </c>
      <c r="D405" t="s">
        <v>4204</v>
      </c>
    </row>
    <row r="406" spans="1:4" x14ac:dyDescent="0.25">
      <c r="A406" t="s">
        <v>683</v>
      </c>
      <c r="B406" t="s">
        <v>1583</v>
      </c>
      <c r="C406">
        <v>0.40400000000000003</v>
      </c>
      <c r="D406" t="s">
        <v>4204</v>
      </c>
    </row>
    <row r="407" spans="1:4" x14ac:dyDescent="0.25">
      <c r="A407" t="s">
        <v>684</v>
      </c>
      <c r="B407" t="s">
        <v>1584</v>
      </c>
      <c r="C407">
        <v>0.40500000000000003</v>
      </c>
      <c r="D407" t="s">
        <v>4204</v>
      </c>
    </row>
    <row r="408" spans="1:4" x14ac:dyDescent="0.25">
      <c r="A408" t="s">
        <v>685</v>
      </c>
      <c r="B408" t="s">
        <v>1585</v>
      </c>
      <c r="C408">
        <v>0.40600000000000003</v>
      </c>
      <c r="D408" t="s">
        <v>4204</v>
      </c>
    </row>
    <row r="409" spans="1:4" x14ac:dyDescent="0.25">
      <c r="A409" t="s">
        <v>686</v>
      </c>
      <c r="B409" t="s">
        <v>1586</v>
      </c>
      <c r="C409">
        <v>0.40699999999999997</v>
      </c>
      <c r="D409" t="s">
        <v>4204</v>
      </c>
    </row>
    <row r="410" spans="1:4" x14ac:dyDescent="0.25">
      <c r="A410" t="s">
        <v>687</v>
      </c>
      <c r="B410" t="s">
        <v>1587</v>
      </c>
      <c r="C410">
        <v>0.40799999999999997</v>
      </c>
      <c r="D410" t="s">
        <v>4204</v>
      </c>
    </row>
    <row r="411" spans="1:4" x14ac:dyDescent="0.25">
      <c r="A411" t="s">
        <v>688</v>
      </c>
      <c r="B411" t="s">
        <v>1588</v>
      </c>
      <c r="C411">
        <v>0.40899999999999997</v>
      </c>
      <c r="D411" t="s">
        <v>4204</v>
      </c>
    </row>
    <row r="412" spans="1:4" x14ac:dyDescent="0.25">
      <c r="A412" t="s">
        <v>689</v>
      </c>
      <c r="B412" t="s">
        <v>1589</v>
      </c>
      <c r="C412">
        <v>0.41</v>
      </c>
      <c r="D412" t="s">
        <v>4204</v>
      </c>
    </row>
    <row r="413" spans="1:4" x14ac:dyDescent="0.25">
      <c r="A413" t="s">
        <v>690</v>
      </c>
      <c r="B413" t="s">
        <v>1590</v>
      </c>
      <c r="C413">
        <v>0.41099999999999998</v>
      </c>
      <c r="D413" t="s">
        <v>4204</v>
      </c>
    </row>
    <row r="414" spans="1:4" x14ac:dyDescent="0.25">
      <c r="A414" t="s">
        <v>691</v>
      </c>
      <c r="B414" t="s">
        <v>1591</v>
      </c>
      <c r="C414">
        <v>0.41199999999999998</v>
      </c>
      <c r="D414" t="s">
        <v>4204</v>
      </c>
    </row>
    <row r="415" spans="1:4" x14ac:dyDescent="0.25">
      <c r="A415" t="s">
        <v>692</v>
      </c>
      <c r="B415" t="s">
        <v>1592</v>
      </c>
      <c r="C415">
        <v>0.41299999999999998</v>
      </c>
      <c r="D415" t="s">
        <v>4204</v>
      </c>
    </row>
    <row r="416" spans="1:4" x14ac:dyDescent="0.25">
      <c r="A416" t="s">
        <v>693</v>
      </c>
      <c r="B416" t="s">
        <v>1593</v>
      </c>
      <c r="C416">
        <v>0.41399999999999998</v>
      </c>
      <c r="D416" t="s">
        <v>4204</v>
      </c>
    </row>
    <row r="417" spans="1:4" x14ac:dyDescent="0.25">
      <c r="A417" t="s">
        <v>694</v>
      </c>
      <c r="B417" t="s">
        <v>1594</v>
      </c>
      <c r="C417">
        <v>0.41499999999999998</v>
      </c>
      <c r="D417" t="s">
        <v>4204</v>
      </c>
    </row>
    <row r="418" spans="1:4" x14ac:dyDescent="0.25">
      <c r="A418" t="s">
        <v>695</v>
      </c>
      <c r="B418" t="s">
        <v>1595</v>
      </c>
      <c r="C418">
        <v>0.41599999999999998</v>
      </c>
      <c r="D418" t="s">
        <v>4204</v>
      </c>
    </row>
    <row r="419" spans="1:4" x14ac:dyDescent="0.25">
      <c r="A419" t="s">
        <v>696</v>
      </c>
      <c r="B419" t="s">
        <v>1596</v>
      </c>
      <c r="C419">
        <v>0.41699999999999998</v>
      </c>
      <c r="D419" t="s">
        <v>4204</v>
      </c>
    </row>
    <row r="420" spans="1:4" x14ac:dyDescent="0.25">
      <c r="A420" t="s">
        <v>697</v>
      </c>
      <c r="B420" t="s">
        <v>1597</v>
      </c>
      <c r="C420">
        <v>0.41799999999999998</v>
      </c>
      <c r="D420" t="s">
        <v>4204</v>
      </c>
    </row>
    <row r="421" spans="1:4" x14ac:dyDescent="0.25">
      <c r="A421" t="s">
        <v>698</v>
      </c>
      <c r="B421" t="s">
        <v>1598</v>
      </c>
      <c r="C421">
        <v>0.41899999999999998</v>
      </c>
      <c r="D421" t="s">
        <v>4204</v>
      </c>
    </row>
    <row r="422" spans="1:4" x14ac:dyDescent="0.25">
      <c r="A422" t="s">
        <v>699</v>
      </c>
      <c r="B422" t="s">
        <v>1599</v>
      </c>
      <c r="C422">
        <v>0.42</v>
      </c>
      <c r="D422" t="s">
        <v>4204</v>
      </c>
    </row>
    <row r="423" spans="1:4" x14ac:dyDescent="0.25">
      <c r="A423" t="s">
        <v>700</v>
      </c>
      <c r="B423" t="s">
        <v>1600</v>
      </c>
      <c r="C423">
        <v>0.42099999999999999</v>
      </c>
      <c r="D423" t="s">
        <v>4204</v>
      </c>
    </row>
    <row r="424" spans="1:4" x14ac:dyDescent="0.25">
      <c r="A424" t="s">
        <v>701</v>
      </c>
      <c r="B424" t="s">
        <v>1601</v>
      </c>
      <c r="C424">
        <v>0.42199999999999999</v>
      </c>
      <c r="D424" t="s">
        <v>4204</v>
      </c>
    </row>
    <row r="425" spans="1:4" x14ac:dyDescent="0.25">
      <c r="A425" t="s">
        <v>702</v>
      </c>
      <c r="B425" t="s">
        <v>1602</v>
      </c>
      <c r="C425">
        <v>0.42299999999999999</v>
      </c>
      <c r="D425" t="s">
        <v>4204</v>
      </c>
    </row>
    <row r="426" spans="1:4" x14ac:dyDescent="0.25">
      <c r="A426" t="s">
        <v>703</v>
      </c>
      <c r="B426" t="s">
        <v>1603</v>
      </c>
      <c r="C426">
        <v>0.42399999999999999</v>
      </c>
      <c r="D426" t="s">
        <v>4204</v>
      </c>
    </row>
    <row r="427" spans="1:4" x14ac:dyDescent="0.25">
      <c r="A427" t="s">
        <v>704</v>
      </c>
      <c r="B427" t="s">
        <v>1604</v>
      </c>
      <c r="C427">
        <v>0.42499999999999999</v>
      </c>
      <c r="D427" t="s">
        <v>4204</v>
      </c>
    </row>
    <row r="428" spans="1:4" x14ac:dyDescent="0.25">
      <c r="A428" t="s">
        <v>705</v>
      </c>
      <c r="B428" t="s">
        <v>1605</v>
      </c>
      <c r="C428">
        <v>0.42599999999999999</v>
      </c>
      <c r="D428" t="s">
        <v>4204</v>
      </c>
    </row>
    <row r="429" spans="1:4" x14ac:dyDescent="0.25">
      <c r="A429" t="s">
        <v>706</v>
      </c>
      <c r="B429" t="s">
        <v>1606</v>
      </c>
      <c r="C429">
        <v>0.42699999999999999</v>
      </c>
      <c r="D429" t="s">
        <v>4204</v>
      </c>
    </row>
    <row r="430" spans="1:4" x14ac:dyDescent="0.25">
      <c r="A430" t="s">
        <v>707</v>
      </c>
      <c r="B430" t="s">
        <v>1607</v>
      </c>
      <c r="C430">
        <v>0.42799999999999999</v>
      </c>
      <c r="D430" t="s">
        <v>4204</v>
      </c>
    </row>
    <row r="431" spans="1:4" x14ac:dyDescent="0.25">
      <c r="A431" t="s">
        <v>708</v>
      </c>
      <c r="B431" t="s">
        <v>1608</v>
      </c>
      <c r="C431">
        <v>0.42899999999999999</v>
      </c>
      <c r="D431" t="s">
        <v>4204</v>
      </c>
    </row>
    <row r="432" spans="1:4" x14ac:dyDescent="0.25">
      <c r="A432" t="s">
        <v>709</v>
      </c>
      <c r="B432" t="s">
        <v>1609</v>
      </c>
      <c r="C432">
        <v>0.43</v>
      </c>
      <c r="D432" t="s">
        <v>4204</v>
      </c>
    </row>
    <row r="433" spans="1:4" x14ac:dyDescent="0.25">
      <c r="A433" t="s">
        <v>710</v>
      </c>
      <c r="B433" t="s">
        <v>1610</v>
      </c>
      <c r="C433">
        <v>0.43099999999999999</v>
      </c>
      <c r="D433" t="s">
        <v>4204</v>
      </c>
    </row>
    <row r="434" spans="1:4" x14ac:dyDescent="0.25">
      <c r="A434" t="s">
        <v>711</v>
      </c>
      <c r="B434" t="s">
        <v>1611</v>
      </c>
      <c r="C434">
        <v>0.432</v>
      </c>
      <c r="D434" t="s">
        <v>4204</v>
      </c>
    </row>
    <row r="435" spans="1:4" x14ac:dyDescent="0.25">
      <c r="A435" t="s">
        <v>712</v>
      </c>
      <c r="B435" t="s">
        <v>1612</v>
      </c>
      <c r="C435">
        <v>0.433</v>
      </c>
      <c r="D435" t="s">
        <v>4204</v>
      </c>
    </row>
    <row r="436" spans="1:4" x14ac:dyDescent="0.25">
      <c r="A436" t="s">
        <v>713</v>
      </c>
      <c r="B436" t="s">
        <v>1613</v>
      </c>
      <c r="C436">
        <v>0.434</v>
      </c>
      <c r="D436" t="s">
        <v>4204</v>
      </c>
    </row>
    <row r="437" spans="1:4" x14ac:dyDescent="0.25">
      <c r="A437" t="s">
        <v>714</v>
      </c>
      <c r="B437" t="s">
        <v>1614</v>
      </c>
      <c r="C437">
        <v>0.435</v>
      </c>
      <c r="D437" t="s">
        <v>4204</v>
      </c>
    </row>
    <row r="438" spans="1:4" x14ac:dyDescent="0.25">
      <c r="A438" t="s">
        <v>715</v>
      </c>
      <c r="B438" t="s">
        <v>1615</v>
      </c>
      <c r="C438">
        <v>0.436</v>
      </c>
      <c r="D438" t="s">
        <v>4204</v>
      </c>
    </row>
    <row r="439" spans="1:4" x14ac:dyDescent="0.25">
      <c r="A439" t="s">
        <v>716</v>
      </c>
      <c r="B439" t="s">
        <v>1616</v>
      </c>
      <c r="C439">
        <v>0.437</v>
      </c>
      <c r="D439" t="s">
        <v>4204</v>
      </c>
    </row>
    <row r="440" spans="1:4" x14ac:dyDescent="0.25">
      <c r="A440" t="s">
        <v>717</v>
      </c>
      <c r="B440" t="s">
        <v>1617</v>
      </c>
      <c r="C440">
        <v>0.438</v>
      </c>
      <c r="D440" t="s">
        <v>4204</v>
      </c>
    </row>
    <row r="441" spans="1:4" x14ac:dyDescent="0.25">
      <c r="A441" t="s">
        <v>718</v>
      </c>
      <c r="B441" t="s">
        <v>1618</v>
      </c>
      <c r="C441">
        <v>0.439</v>
      </c>
      <c r="D441" t="s">
        <v>4204</v>
      </c>
    </row>
    <row r="442" spans="1:4" x14ac:dyDescent="0.25">
      <c r="A442" t="s">
        <v>719</v>
      </c>
      <c r="B442" t="s">
        <v>1619</v>
      </c>
      <c r="C442">
        <v>0.44</v>
      </c>
      <c r="D442" t="s">
        <v>4204</v>
      </c>
    </row>
    <row r="443" spans="1:4" x14ac:dyDescent="0.25">
      <c r="A443" t="s">
        <v>720</v>
      </c>
      <c r="B443" t="s">
        <v>1620</v>
      </c>
      <c r="C443">
        <v>0.441</v>
      </c>
      <c r="D443" t="s">
        <v>4204</v>
      </c>
    </row>
    <row r="444" spans="1:4" x14ac:dyDescent="0.25">
      <c r="A444" t="s">
        <v>721</v>
      </c>
      <c r="B444" t="s">
        <v>1621</v>
      </c>
      <c r="C444">
        <v>0.442</v>
      </c>
      <c r="D444" t="s">
        <v>4204</v>
      </c>
    </row>
    <row r="445" spans="1:4" x14ac:dyDescent="0.25">
      <c r="A445" t="s">
        <v>722</v>
      </c>
      <c r="B445" t="s">
        <v>1622</v>
      </c>
      <c r="C445">
        <v>0.443</v>
      </c>
      <c r="D445" t="s">
        <v>4204</v>
      </c>
    </row>
    <row r="446" spans="1:4" x14ac:dyDescent="0.25">
      <c r="A446" t="s">
        <v>723</v>
      </c>
      <c r="B446" t="s">
        <v>1623</v>
      </c>
      <c r="C446">
        <v>0.44400000000000001</v>
      </c>
      <c r="D446" t="s">
        <v>4204</v>
      </c>
    </row>
    <row r="447" spans="1:4" x14ac:dyDescent="0.25">
      <c r="A447" t="s">
        <v>724</v>
      </c>
      <c r="B447" t="s">
        <v>1624</v>
      </c>
      <c r="C447">
        <v>0.44500000000000001</v>
      </c>
      <c r="D447" t="s">
        <v>4204</v>
      </c>
    </row>
    <row r="448" spans="1:4" x14ac:dyDescent="0.25">
      <c r="A448" t="s">
        <v>725</v>
      </c>
      <c r="B448" t="s">
        <v>1625</v>
      </c>
      <c r="C448">
        <v>0.44600000000000001</v>
      </c>
      <c r="D448" t="s">
        <v>4204</v>
      </c>
    </row>
    <row r="449" spans="1:4" x14ac:dyDescent="0.25">
      <c r="A449" t="s">
        <v>726</v>
      </c>
      <c r="B449" t="s">
        <v>1626</v>
      </c>
      <c r="C449">
        <v>0.44700000000000001</v>
      </c>
      <c r="D449" t="s">
        <v>4204</v>
      </c>
    </row>
    <row r="450" spans="1:4" x14ac:dyDescent="0.25">
      <c r="A450" t="s">
        <v>727</v>
      </c>
      <c r="B450" t="s">
        <v>1627</v>
      </c>
      <c r="C450">
        <v>0.44800000000000001</v>
      </c>
      <c r="D450" t="s">
        <v>4204</v>
      </c>
    </row>
    <row r="451" spans="1:4" x14ac:dyDescent="0.25">
      <c r="A451" t="s">
        <v>728</v>
      </c>
      <c r="B451" t="s">
        <v>1628</v>
      </c>
      <c r="C451">
        <v>0.44900000000000001</v>
      </c>
      <c r="D451" t="s">
        <v>4204</v>
      </c>
    </row>
    <row r="452" spans="1:4" x14ac:dyDescent="0.25">
      <c r="A452" t="s">
        <v>729</v>
      </c>
      <c r="B452" t="s">
        <v>1629</v>
      </c>
      <c r="C452">
        <v>0.45</v>
      </c>
      <c r="D452" t="s">
        <v>4204</v>
      </c>
    </row>
    <row r="453" spans="1:4" x14ac:dyDescent="0.25">
      <c r="A453" t="s">
        <v>730</v>
      </c>
      <c r="B453" t="s">
        <v>1630</v>
      </c>
      <c r="C453">
        <v>0.45100000000000001</v>
      </c>
      <c r="D453" t="s">
        <v>4204</v>
      </c>
    </row>
    <row r="454" spans="1:4" x14ac:dyDescent="0.25">
      <c r="A454" t="s">
        <v>731</v>
      </c>
      <c r="B454" t="s">
        <v>1631</v>
      </c>
      <c r="C454">
        <v>0.45200000000000001</v>
      </c>
      <c r="D454" t="s">
        <v>4204</v>
      </c>
    </row>
    <row r="455" spans="1:4" x14ac:dyDescent="0.25">
      <c r="A455" t="s">
        <v>732</v>
      </c>
      <c r="B455" t="s">
        <v>1632</v>
      </c>
      <c r="C455">
        <v>0.45300000000000001</v>
      </c>
      <c r="D455" t="s">
        <v>4204</v>
      </c>
    </row>
    <row r="456" spans="1:4" x14ac:dyDescent="0.25">
      <c r="A456" t="s">
        <v>733</v>
      </c>
      <c r="B456" t="s">
        <v>1633</v>
      </c>
      <c r="C456">
        <v>0.45400000000000001</v>
      </c>
      <c r="D456" t="s">
        <v>4204</v>
      </c>
    </row>
    <row r="457" spans="1:4" x14ac:dyDescent="0.25">
      <c r="A457" t="s">
        <v>734</v>
      </c>
      <c r="B457" t="s">
        <v>1634</v>
      </c>
      <c r="C457">
        <v>0.45500000000000002</v>
      </c>
      <c r="D457" t="s">
        <v>4204</v>
      </c>
    </row>
    <row r="458" spans="1:4" x14ac:dyDescent="0.25">
      <c r="A458" t="s">
        <v>735</v>
      </c>
      <c r="B458" t="s">
        <v>1635</v>
      </c>
      <c r="C458">
        <v>0.45600000000000002</v>
      </c>
      <c r="D458" t="s">
        <v>4204</v>
      </c>
    </row>
    <row r="459" spans="1:4" x14ac:dyDescent="0.25">
      <c r="A459" t="s">
        <v>736</v>
      </c>
      <c r="B459" t="s">
        <v>1636</v>
      </c>
      <c r="C459">
        <v>0.45700000000000002</v>
      </c>
      <c r="D459" t="s">
        <v>4204</v>
      </c>
    </row>
    <row r="460" spans="1:4" x14ac:dyDescent="0.25">
      <c r="A460" t="s">
        <v>737</v>
      </c>
      <c r="B460" t="s">
        <v>1637</v>
      </c>
      <c r="C460">
        <v>0.45800000000000002</v>
      </c>
      <c r="D460" t="s">
        <v>4204</v>
      </c>
    </row>
    <row r="461" spans="1:4" x14ac:dyDescent="0.25">
      <c r="A461" t="s">
        <v>738</v>
      </c>
      <c r="B461" t="s">
        <v>1638</v>
      </c>
      <c r="C461">
        <v>0.45900000000000002</v>
      </c>
      <c r="D461" t="s">
        <v>4204</v>
      </c>
    </row>
    <row r="462" spans="1:4" x14ac:dyDescent="0.25">
      <c r="A462" t="s">
        <v>739</v>
      </c>
      <c r="B462" t="s">
        <v>1639</v>
      </c>
      <c r="C462">
        <v>0.46</v>
      </c>
      <c r="D462" t="s">
        <v>4204</v>
      </c>
    </row>
    <row r="463" spans="1:4" x14ac:dyDescent="0.25">
      <c r="A463" t="s">
        <v>740</v>
      </c>
      <c r="B463" t="s">
        <v>1640</v>
      </c>
      <c r="C463">
        <v>0.46100000000000002</v>
      </c>
      <c r="D463" t="s">
        <v>4204</v>
      </c>
    </row>
    <row r="464" spans="1:4" x14ac:dyDescent="0.25">
      <c r="A464" t="s">
        <v>741</v>
      </c>
      <c r="B464" t="s">
        <v>1641</v>
      </c>
      <c r="C464">
        <v>0.46200000000000002</v>
      </c>
      <c r="D464" t="s">
        <v>4204</v>
      </c>
    </row>
    <row r="465" spans="1:4" x14ac:dyDescent="0.25">
      <c r="A465" t="s">
        <v>742</v>
      </c>
      <c r="B465" t="s">
        <v>1642</v>
      </c>
      <c r="C465">
        <v>0.46300000000000002</v>
      </c>
      <c r="D465" t="s">
        <v>4204</v>
      </c>
    </row>
    <row r="466" spans="1:4" x14ac:dyDescent="0.25">
      <c r="A466" t="s">
        <v>743</v>
      </c>
      <c r="B466" t="s">
        <v>1643</v>
      </c>
      <c r="C466">
        <v>0.46400000000000002</v>
      </c>
      <c r="D466" t="s">
        <v>4204</v>
      </c>
    </row>
    <row r="467" spans="1:4" x14ac:dyDescent="0.25">
      <c r="A467" t="s">
        <v>744</v>
      </c>
      <c r="B467" t="s">
        <v>1644</v>
      </c>
      <c r="C467">
        <v>0.46500000000000002</v>
      </c>
      <c r="D467" t="s">
        <v>4204</v>
      </c>
    </row>
    <row r="468" spans="1:4" x14ac:dyDescent="0.25">
      <c r="A468" t="s">
        <v>745</v>
      </c>
      <c r="B468" t="s">
        <v>1645</v>
      </c>
      <c r="C468">
        <v>0.46600000000000003</v>
      </c>
      <c r="D468" t="s">
        <v>4204</v>
      </c>
    </row>
    <row r="469" spans="1:4" x14ac:dyDescent="0.25">
      <c r="A469" t="s">
        <v>746</v>
      </c>
      <c r="B469" t="s">
        <v>1646</v>
      </c>
      <c r="C469">
        <v>0.46700000000000003</v>
      </c>
      <c r="D469" t="s">
        <v>4204</v>
      </c>
    </row>
    <row r="470" spans="1:4" x14ac:dyDescent="0.25">
      <c r="A470" t="s">
        <v>747</v>
      </c>
      <c r="B470" t="s">
        <v>1647</v>
      </c>
      <c r="C470">
        <v>0.46800000000000003</v>
      </c>
      <c r="D470" t="s">
        <v>4204</v>
      </c>
    </row>
    <row r="471" spans="1:4" x14ac:dyDescent="0.25">
      <c r="A471" t="s">
        <v>748</v>
      </c>
      <c r="B471" t="s">
        <v>1648</v>
      </c>
      <c r="C471">
        <v>0.46899999999999997</v>
      </c>
      <c r="D471" t="s">
        <v>4204</v>
      </c>
    </row>
    <row r="472" spans="1:4" x14ac:dyDescent="0.25">
      <c r="A472" t="s">
        <v>749</v>
      </c>
      <c r="B472" t="s">
        <v>1649</v>
      </c>
      <c r="C472">
        <v>0.47</v>
      </c>
      <c r="D472" t="s">
        <v>4204</v>
      </c>
    </row>
    <row r="473" spans="1:4" x14ac:dyDescent="0.25">
      <c r="A473" t="s">
        <v>750</v>
      </c>
      <c r="B473" t="s">
        <v>1650</v>
      </c>
      <c r="C473">
        <v>0.47099999999999997</v>
      </c>
      <c r="D473" t="s">
        <v>4204</v>
      </c>
    </row>
    <row r="474" spans="1:4" x14ac:dyDescent="0.25">
      <c r="A474" t="s">
        <v>751</v>
      </c>
      <c r="B474" t="s">
        <v>1651</v>
      </c>
      <c r="C474">
        <v>0.47199999999999998</v>
      </c>
      <c r="D474" t="s">
        <v>4204</v>
      </c>
    </row>
    <row r="475" spans="1:4" x14ac:dyDescent="0.25">
      <c r="A475" t="s">
        <v>752</v>
      </c>
      <c r="B475" t="s">
        <v>1652</v>
      </c>
      <c r="C475">
        <v>0.47299999999999998</v>
      </c>
      <c r="D475" t="s">
        <v>4204</v>
      </c>
    </row>
    <row r="476" spans="1:4" x14ac:dyDescent="0.25">
      <c r="A476" t="s">
        <v>753</v>
      </c>
      <c r="B476" t="s">
        <v>1653</v>
      </c>
      <c r="C476">
        <v>0.47399999999999998</v>
      </c>
      <c r="D476" t="s">
        <v>4204</v>
      </c>
    </row>
    <row r="477" spans="1:4" x14ac:dyDescent="0.25">
      <c r="A477" t="s">
        <v>754</v>
      </c>
      <c r="B477" t="s">
        <v>1654</v>
      </c>
      <c r="C477">
        <v>0.47499999999999998</v>
      </c>
      <c r="D477" t="s">
        <v>4204</v>
      </c>
    </row>
    <row r="478" spans="1:4" x14ac:dyDescent="0.25">
      <c r="A478" t="s">
        <v>755</v>
      </c>
      <c r="B478" t="s">
        <v>1655</v>
      </c>
      <c r="C478">
        <v>0.47599999999999998</v>
      </c>
      <c r="D478" t="s">
        <v>4204</v>
      </c>
    </row>
    <row r="479" spans="1:4" x14ac:dyDescent="0.25">
      <c r="A479" t="s">
        <v>756</v>
      </c>
      <c r="B479" t="s">
        <v>1656</v>
      </c>
      <c r="C479">
        <v>0.47699999999999998</v>
      </c>
      <c r="D479" t="s">
        <v>4204</v>
      </c>
    </row>
    <row r="480" spans="1:4" x14ac:dyDescent="0.25">
      <c r="A480" t="s">
        <v>757</v>
      </c>
      <c r="B480" t="s">
        <v>1657</v>
      </c>
      <c r="C480">
        <v>0.47799999999999998</v>
      </c>
      <c r="D480" t="s">
        <v>4204</v>
      </c>
    </row>
    <row r="481" spans="1:4" x14ac:dyDescent="0.25">
      <c r="A481" t="s">
        <v>758</v>
      </c>
      <c r="B481" t="s">
        <v>1658</v>
      </c>
      <c r="C481">
        <v>0.47899999999999998</v>
      </c>
      <c r="D481" t="s">
        <v>4204</v>
      </c>
    </row>
    <row r="482" spans="1:4" x14ac:dyDescent="0.25">
      <c r="A482" t="s">
        <v>759</v>
      </c>
      <c r="B482" t="s">
        <v>1659</v>
      </c>
      <c r="C482">
        <v>0.48</v>
      </c>
      <c r="D482" t="s">
        <v>4204</v>
      </c>
    </row>
    <row r="483" spans="1:4" x14ac:dyDescent="0.25">
      <c r="A483" t="s">
        <v>760</v>
      </c>
      <c r="B483" t="s">
        <v>1660</v>
      </c>
      <c r="C483">
        <v>0.48099999999999998</v>
      </c>
      <c r="D483" t="s">
        <v>4204</v>
      </c>
    </row>
    <row r="484" spans="1:4" x14ac:dyDescent="0.25">
      <c r="A484" t="s">
        <v>761</v>
      </c>
      <c r="B484" t="s">
        <v>1661</v>
      </c>
      <c r="C484">
        <v>0.48199999999999998</v>
      </c>
      <c r="D484" t="s">
        <v>4204</v>
      </c>
    </row>
    <row r="485" spans="1:4" x14ac:dyDescent="0.25">
      <c r="A485" t="s">
        <v>762</v>
      </c>
      <c r="B485" t="s">
        <v>1662</v>
      </c>
      <c r="C485">
        <v>0.48299999999999998</v>
      </c>
      <c r="D485" t="s">
        <v>4204</v>
      </c>
    </row>
    <row r="486" spans="1:4" x14ac:dyDescent="0.25">
      <c r="A486" t="s">
        <v>763</v>
      </c>
      <c r="B486" t="s">
        <v>1663</v>
      </c>
      <c r="C486">
        <v>0.48399999999999999</v>
      </c>
      <c r="D486" t="s">
        <v>4204</v>
      </c>
    </row>
    <row r="487" spans="1:4" x14ac:dyDescent="0.25">
      <c r="A487" t="s">
        <v>764</v>
      </c>
      <c r="B487" t="s">
        <v>1664</v>
      </c>
      <c r="C487">
        <v>0.48499999999999999</v>
      </c>
      <c r="D487" t="s">
        <v>4204</v>
      </c>
    </row>
    <row r="488" spans="1:4" x14ac:dyDescent="0.25">
      <c r="A488" t="s">
        <v>765</v>
      </c>
      <c r="B488" t="s">
        <v>1665</v>
      </c>
      <c r="C488">
        <v>0.48599999999999999</v>
      </c>
      <c r="D488" t="s">
        <v>4204</v>
      </c>
    </row>
    <row r="489" spans="1:4" x14ac:dyDescent="0.25">
      <c r="A489" t="s">
        <v>766</v>
      </c>
      <c r="B489" t="s">
        <v>1666</v>
      </c>
      <c r="C489">
        <v>0.48699999999999999</v>
      </c>
      <c r="D489" t="s">
        <v>4204</v>
      </c>
    </row>
    <row r="490" spans="1:4" x14ac:dyDescent="0.25">
      <c r="A490" t="s">
        <v>767</v>
      </c>
      <c r="B490" t="s">
        <v>1667</v>
      </c>
      <c r="C490">
        <v>0.48799999999999999</v>
      </c>
      <c r="D490" t="s">
        <v>4204</v>
      </c>
    </row>
    <row r="491" spans="1:4" x14ac:dyDescent="0.25">
      <c r="A491" t="s">
        <v>768</v>
      </c>
      <c r="B491" t="s">
        <v>1668</v>
      </c>
      <c r="C491">
        <v>0.48899999999999999</v>
      </c>
      <c r="D491" t="s">
        <v>4204</v>
      </c>
    </row>
    <row r="492" spans="1:4" x14ac:dyDescent="0.25">
      <c r="A492" t="s">
        <v>769</v>
      </c>
      <c r="B492" t="s">
        <v>1669</v>
      </c>
      <c r="C492">
        <v>0.49</v>
      </c>
      <c r="D492" t="s">
        <v>4204</v>
      </c>
    </row>
    <row r="493" spans="1:4" x14ac:dyDescent="0.25">
      <c r="A493" t="s">
        <v>770</v>
      </c>
      <c r="B493" t="s">
        <v>1670</v>
      </c>
      <c r="C493">
        <v>0.49099999999999999</v>
      </c>
      <c r="D493" t="s">
        <v>4204</v>
      </c>
    </row>
    <row r="494" spans="1:4" x14ac:dyDescent="0.25">
      <c r="A494" t="s">
        <v>771</v>
      </c>
      <c r="B494" t="s">
        <v>1671</v>
      </c>
      <c r="C494">
        <v>0.49199999999999999</v>
      </c>
      <c r="D494" t="s">
        <v>4204</v>
      </c>
    </row>
    <row r="495" spans="1:4" x14ac:dyDescent="0.25">
      <c r="A495" t="s">
        <v>772</v>
      </c>
      <c r="B495" t="s">
        <v>1672</v>
      </c>
      <c r="C495">
        <v>0.49299999999999999</v>
      </c>
      <c r="D495" t="s">
        <v>4204</v>
      </c>
    </row>
    <row r="496" spans="1:4" x14ac:dyDescent="0.25">
      <c r="A496" t="s">
        <v>773</v>
      </c>
      <c r="B496" t="s">
        <v>1673</v>
      </c>
      <c r="C496">
        <v>0.49399999999999999</v>
      </c>
      <c r="D496" t="s">
        <v>4204</v>
      </c>
    </row>
    <row r="497" spans="1:4" x14ac:dyDescent="0.25">
      <c r="A497" t="s">
        <v>774</v>
      </c>
      <c r="B497" t="s">
        <v>1674</v>
      </c>
      <c r="C497">
        <v>0.495</v>
      </c>
      <c r="D497" t="s">
        <v>4204</v>
      </c>
    </row>
    <row r="498" spans="1:4" x14ac:dyDescent="0.25">
      <c r="A498" t="s">
        <v>775</v>
      </c>
      <c r="B498" t="s">
        <v>1675</v>
      </c>
      <c r="C498">
        <v>0.496</v>
      </c>
      <c r="D498" t="s">
        <v>4204</v>
      </c>
    </row>
    <row r="499" spans="1:4" x14ac:dyDescent="0.25">
      <c r="A499" t="s">
        <v>776</v>
      </c>
      <c r="B499" t="s">
        <v>1676</v>
      </c>
      <c r="C499">
        <v>0.497</v>
      </c>
      <c r="D499" t="s">
        <v>4204</v>
      </c>
    </row>
    <row r="500" spans="1:4" x14ac:dyDescent="0.25">
      <c r="A500" t="s">
        <v>777</v>
      </c>
      <c r="B500" t="s">
        <v>1677</v>
      </c>
      <c r="C500">
        <v>0.498</v>
      </c>
      <c r="D500" t="s">
        <v>4204</v>
      </c>
    </row>
    <row r="501" spans="1:4" x14ac:dyDescent="0.25">
      <c r="A501" t="s">
        <v>778</v>
      </c>
      <c r="B501" t="s">
        <v>1678</v>
      </c>
      <c r="C501">
        <v>0.499</v>
      </c>
      <c r="D501" t="s">
        <v>4204</v>
      </c>
    </row>
    <row r="502" spans="1:4" x14ac:dyDescent="0.25">
      <c r="A502" t="s">
        <v>779</v>
      </c>
      <c r="B502" t="s">
        <v>1679</v>
      </c>
      <c r="C502">
        <v>0.5</v>
      </c>
      <c r="D502" t="s">
        <v>4204</v>
      </c>
    </row>
    <row r="503" spans="1:4" x14ac:dyDescent="0.25">
      <c r="A503" t="s">
        <v>780</v>
      </c>
      <c r="B503" t="s">
        <v>1680</v>
      </c>
      <c r="C503">
        <v>0.501</v>
      </c>
      <c r="D503" t="s">
        <v>4204</v>
      </c>
    </row>
    <row r="504" spans="1:4" x14ac:dyDescent="0.25">
      <c r="A504" t="s">
        <v>781</v>
      </c>
      <c r="B504" t="s">
        <v>1681</v>
      </c>
      <c r="C504">
        <v>0.502</v>
      </c>
      <c r="D504" t="s">
        <v>4204</v>
      </c>
    </row>
    <row r="505" spans="1:4" x14ac:dyDescent="0.25">
      <c r="A505" t="s">
        <v>782</v>
      </c>
      <c r="B505" t="s">
        <v>1682</v>
      </c>
      <c r="C505">
        <v>0.503</v>
      </c>
      <c r="D505" t="s">
        <v>4204</v>
      </c>
    </row>
    <row r="506" spans="1:4" x14ac:dyDescent="0.25">
      <c r="A506" t="s">
        <v>783</v>
      </c>
      <c r="B506" t="s">
        <v>1683</v>
      </c>
      <c r="C506">
        <v>0.504</v>
      </c>
      <c r="D506" t="s">
        <v>4204</v>
      </c>
    </row>
    <row r="507" spans="1:4" x14ac:dyDescent="0.25">
      <c r="A507" t="s">
        <v>784</v>
      </c>
      <c r="B507" t="s">
        <v>1684</v>
      </c>
      <c r="C507">
        <v>0.505</v>
      </c>
      <c r="D507" t="s">
        <v>4204</v>
      </c>
    </row>
    <row r="508" spans="1:4" x14ac:dyDescent="0.25">
      <c r="A508" t="s">
        <v>785</v>
      </c>
      <c r="B508" t="s">
        <v>1685</v>
      </c>
      <c r="C508">
        <v>0.50600000000000001</v>
      </c>
      <c r="D508" t="s">
        <v>4204</v>
      </c>
    </row>
    <row r="509" spans="1:4" x14ac:dyDescent="0.25">
      <c r="A509" t="s">
        <v>786</v>
      </c>
      <c r="B509" t="s">
        <v>1686</v>
      </c>
      <c r="C509">
        <v>0.50700000000000001</v>
      </c>
      <c r="D509" t="s">
        <v>4204</v>
      </c>
    </row>
    <row r="510" spans="1:4" x14ac:dyDescent="0.25">
      <c r="A510" t="s">
        <v>787</v>
      </c>
      <c r="B510" t="s">
        <v>1687</v>
      </c>
      <c r="C510">
        <v>0.50800000000000001</v>
      </c>
      <c r="D510" t="s">
        <v>4204</v>
      </c>
    </row>
    <row r="511" spans="1:4" x14ac:dyDescent="0.25">
      <c r="A511" t="s">
        <v>788</v>
      </c>
      <c r="B511" t="s">
        <v>1688</v>
      </c>
      <c r="C511">
        <v>0.50900000000000001</v>
      </c>
      <c r="D511" t="s">
        <v>4204</v>
      </c>
    </row>
    <row r="512" spans="1:4" x14ac:dyDescent="0.25">
      <c r="A512" t="s">
        <v>789</v>
      </c>
      <c r="B512" t="s">
        <v>1689</v>
      </c>
      <c r="C512">
        <v>0.51</v>
      </c>
      <c r="D512" t="s">
        <v>4204</v>
      </c>
    </row>
    <row r="513" spans="1:4" x14ac:dyDescent="0.25">
      <c r="A513" t="s">
        <v>790</v>
      </c>
      <c r="B513" t="s">
        <v>1690</v>
      </c>
      <c r="C513">
        <v>0.51100000000000001</v>
      </c>
      <c r="D513" t="s">
        <v>4204</v>
      </c>
    </row>
    <row r="514" spans="1:4" x14ac:dyDescent="0.25">
      <c r="A514" t="s">
        <v>791</v>
      </c>
      <c r="B514" t="s">
        <v>1691</v>
      </c>
      <c r="C514">
        <v>0.51200000000000001</v>
      </c>
      <c r="D514" t="s">
        <v>4204</v>
      </c>
    </row>
    <row r="515" spans="1:4" x14ac:dyDescent="0.25">
      <c r="A515" t="s">
        <v>792</v>
      </c>
      <c r="B515" t="s">
        <v>1692</v>
      </c>
      <c r="C515">
        <v>0.51300000000000001</v>
      </c>
      <c r="D515" t="s">
        <v>4204</v>
      </c>
    </row>
    <row r="516" spans="1:4" x14ac:dyDescent="0.25">
      <c r="A516" t="s">
        <v>793</v>
      </c>
      <c r="B516" t="s">
        <v>1693</v>
      </c>
      <c r="C516">
        <v>0.51400000000000001</v>
      </c>
      <c r="D516" t="s">
        <v>4204</v>
      </c>
    </row>
    <row r="517" spans="1:4" x14ac:dyDescent="0.25">
      <c r="A517" t="s">
        <v>794</v>
      </c>
      <c r="B517" t="s">
        <v>1694</v>
      </c>
      <c r="C517">
        <v>0.51500000000000001</v>
      </c>
      <c r="D517" t="s">
        <v>4204</v>
      </c>
    </row>
    <row r="518" spans="1:4" x14ac:dyDescent="0.25">
      <c r="A518" t="s">
        <v>795</v>
      </c>
      <c r="B518" t="s">
        <v>1695</v>
      </c>
      <c r="C518">
        <v>0.51600000000000001</v>
      </c>
      <c r="D518" t="s">
        <v>4204</v>
      </c>
    </row>
    <row r="519" spans="1:4" x14ac:dyDescent="0.25">
      <c r="A519" t="s">
        <v>796</v>
      </c>
      <c r="B519" t="s">
        <v>1696</v>
      </c>
      <c r="C519">
        <v>0.51700000000000002</v>
      </c>
      <c r="D519" t="s">
        <v>4204</v>
      </c>
    </row>
    <row r="520" spans="1:4" x14ac:dyDescent="0.25">
      <c r="A520" t="s">
        <v>797</v>
      </c>
      <c r="B520" t="s">
        <v>1697</v>
      </c>
      <c r="C520">
        <v>0.51800000000000002</v>
      </c>
      <c r="D520" t="s">
        <v>4204</v>
      </c>
    </row>
    <row r="521" spans="1:4" x14ac:dyDescent="0.25">
      <c r="A521" t="s">
        <v>798</v>
      </c>
      <c r="B521" t="s">
        <v>1698</v>
      </c>
      <c r="C521">
        <v>0.51900000000000002</v>
      </c>
      <c r="D521" t="s">
        <v>4204</v>
      </c>
    </row>
    <row r="522" spans="1:4" x14ac:dyDescent="0.25">
      <c r="A522" t="s">
        <v>799</v>
      </c>
      <c r="B522" t="s">
        <v>1699</v>
      </c>
      <c r="C522">
        <v>0.52</v>
      </c>
      <c r="D522" t="s">
        <v>4204</v>
      </c>
    </row>
    <row r="523" spans="1:4" x14ac:dyDescent="0.25">
      <c r="A523" t="s">
        <v>800</v>
      </c>
      <c r="B523" t="s">
        <v>1700</v>
      </c>
      <c r="C523">
        <v>0.52100000000000002</v>
      </c>
      <c r="D523" t="s">
        <v>4204</v>
      </c>
    </row>
    <row r="524" spans="1:4" x14ac:dyDescent="0.25">
      <c r="A524" t="s">
        <v>801</v>
      </c>
      <c r="B524" t="s">
        <v>1701</v>
      </c>
      <c r="C524">
        <v>0.52200000000000002</v>
      </c>
      <c r="D524" t="s">
        <v>4204</v>
      </c>
    </row>
    <row r="525" spans="1:4" x14ac:dyDescent="0.25">
      <c r="A525" t="s">
        <v>802</v>
      </c>
      <c r="B525" t="s">
        <v>1702</v>
      </c>
      <c r="C525">
        <v>0.52300000000000002</v>
      </c>
      <c r="D525" t="s">
        <v>4204</v>
      </c>
    </row>
    <row r="526" spans="1:4" x14ac:dyDescent="0.25">
      <c r="A526" t="s">
        <v>803</v>
      </c>
      <c r="B526" t="s">
        <v>1703</v>
      </c>
      <c r="C526">
        <v>0.52400000000000002</v>
      </c>
      <c r="D526" t="s">
        <v>4204</v>
      </c>
    </row>
    <row r="527" spans="1:4" x14ac:dyDescent="0.25">
      <c r="A527" t="s">
        <v>804</v>
      </c>
      <c r="B527" t="s">
        <v>1704</v>
      </c>
      <c r="C527">
        <v>0.52500000000000002</v>
      </c>
      <c r="D527" t="s">
        <v>4204</v>
      </c>
    </row>
    <row r="528" spans="1:4" x14ac:dyDescent="0.25">
      <c r="A528" t="s">
        <v>805</v>
      </c>
      <c r="B528" t="s">
        <v>1705</v>
      </c>
      <c r="C528">
        <v>0.52600000000000002</v>
      </c>
      <c r="D528" t="s">
        <v>4204</v>
      </c>
    </row>
    <row r="529" spans="1:4" x14ac:dyDescent="0.25">
      <c r="A529" t="s">
        <v>806</v>
      </c>
      <c r="B529" t="s">
        <v>1706</v>
      </c>
      <c r="C529">
        <v>0.52700000000000002</v>
      </c>
      <c r="D529" t="s">
        <v>4204</v>
      </c>
    </row>
    <row r="530" spans="1:4" x14ac:dyDescent="0.25">
      <c r="A530" t="s">
        <v>807</v>
      </c>
      <c r="B530" t="s">
        <v>1707</v>
      </c>
      <c r="C530">
        <v>0.52800000000000002</v>
      </c>
      <c r="D530" t="s">
        <v>4204</v>
      </c>
    </row>
    <row r="531" spans="1:4" x14ac:dyDescent="0.25">
      <c r="A531" t="s">
        <v>808</v>
      </c>
      <c r="B531" t="s">
        <v>1708</v>
      </c>
      <c r="C531">
        <v>0.52900000000000003</v>
      </c>
      <c r="D531" t="s">
        <v>4204</v>
      </c>
    </row>
    <row r="532" spans="1:4" x14ac:dyDescent="0.25">
      <c r="A532" t="s">
        <v>809</v>
      </c>
      <c r="B532" t="s">
        <v>1709</v>
      </c>
      <c r="C532">
        <v>0.53</v>
      </c>
      <c r="D532" t="s">
        <v>4204</v>
      </c>
    </row>
    <row r="533" spans="1:4" x14ac:dyDescent="0.25">
      <c r="A533" t="s">
        <v>810</v>
      </c>
      <c r="B533" t="s">
        <v>1710</v>
      </c>
      <c r="C533">
        <v>0.53100000000000003</v>
      </c>
      <c r="D533" t="s">
        <v>4204</v>
      </c>
    </row>
    <row r="534" spans="1:4" x14ac:dyDescent="0.25">
      <c r="A534" t="s">
        <v>811</v>
      </c>
      <c r="B534" t="s">
        <v>1711</v>
      </c>
      <c r="C534">
        <v>0.53200000000000003</v>
      </c>
      <c r="D534" t="s">
        <v>4204</v>
      </c>
    </row>
    <row r="535" spans="1:4" x14ac:dyDescent="0.25">
      <c r="A535" t="s">
        <v>812</v>
      </c>
      <c r="B535" t="s">
        <v>1712</v>
      </c>
      <c r="C535">
        <v>0.53300000000000003</v>
      </c>
      <c r="D535" t="s">
        <v>4204</v>
      </c>
    </row>
    <row r="536" spans="1:4" x14ac:dyDescent="0.25">
      <c r="A536" t="s">
        <v>813</v>
      </c>
      <c r="B536" t="s">
        <v>1713</v>
      </c>
      <c r="C536">
        <v>0.53400000000000003</v>
      </c>
      <c r="D536" t="s">
        <v>4204</v>
      </c>
    </row>
    <row r="537" spans="1:4" x14ac:dyDescent="0.25">
      <c r="A537" t="s">
        <v>814</v>
      </c>
      <c r="B537" t="s">
        <v>1714</v>
      </c>
      <c r="C537">
        <v>0.53500000000000003</v>
      </c>
      <c r="D537" t="s">
        <v>4204</v>
      </c>
    </row>
    <row r="538" spans="1:4" x14ac:dyDescent="0.25">
      <c r="A538" t="s">
        <v>815</v>
      </c>
      <c r="B538" t="s">
        <v>1715</v>
      </c>
      <c r="C538">
        <v>0.53600000000000003</v>
      </c>
      <c r="D538" t="s">
        <v>4204</v>
      </c>
    </row>
    <row r="539" spans="1:4" x14ac:dyDescent="0.25">
      <c r="A539" t="s">
        <v>816</v>
      </c>
      <c r="B539" t="s">
        <v>1716</v>
      </c>
      <c r="C539">
        <v>0.53700000000000003</v>
      </c>
      <c r="D539" t="s">
        <v>4204</v>
      </c>
    </row>
    <row r="540" spans="1:4" x14ac:dyDescent="0.25">
      <c r="A540" t="s">
        <v>817</v>
      </c>
      <c r="B540" t="s">
        <v>1717</v>
      </c>
      <c r="C540">
        <v>0.53800000000000003</v>
      </c>
      <c r="D540" t="s">
        <v>4204</v>
      </c>
    </row>
    <row r="541" spans="1:4" x14ac:dyDescent="0.25">
      <c r="A541" t="s">
        <v>818</v>
      </c>
      <c r="B541" t="s">
        <v>1718</v>
      </c>
      <c r="C541">
        <v>0.53900000000000003</v>
      </c>
      <c r="D541" t="s">
        <v>4204</v>
      </c>
    </row>
    <row r="542" spans="1:4" x14ac:dyDescent="0.25">
      <c r="A542" t="s">
        <v>819</v>
      </c>
      <c r="B542" t="s">
        <v>1719</v>
      </c>
      <c r="C542">
        <v>0.54</v>
      </c>
      <c r="D542" t="s">
        <v>4204</v>
      </c>
    </row>
    <row r="543" spans="1:4" x14ac:dyDescent="0.25">
      <c r="A543" t="s">
        <v>820</v>
      </c>
      <c r="B543" t="s">
        <v>1720</v>
      </c>
      <c r="C543">
        <v>0.54100000000000004</v>
      </c>
      <c r="D543" t="s">
        <v>4204</v>
      </c>
    </row>
    <row r="544" spans="1:4" x14ac:dyDescent="0.25">
      <c r="A544" t="s">
        <v>821</v>
      </c>
      <c r="B544" t="s">
        <v>1721</v>
      </c>
      <c r="C544">
        <v>0.54200000000000004</v>
      </c>
      <c r="D544" t="s">
        <v>4204</v>
      </c>
    </row>
    <row r="545" spans="1:4" x14ac:dyDescent="0.25">
      <c r="A545" t="s">
        <v>822</v>
      </c>
      <c r="B545" t="s">
        <v>1722</v>
      </c>
      <c r="C545">
        <v>0.54300000000000004</v>
      </c>
      <c r="D545" t="s">
        <v>4204</v>
      </c>
    </row>
    <row r="546" spans="1:4" x14ac:dyDescent="0.25">
      <c r="A546" t="s">
        <v>823</v>
      </c>
      <c r="B546" t="s">
        <v>1723</v>
      </c>
      <c r="C546">
        <v>0.54400000000000004</v>
      </c>
      <c r="D546" t="s">
        <v>4204</v>
      </c>
    </row>
    <row r="547" spans="1:4" x14ac:dyDescent="0.25">
      <c r="A547" t="s">
        <v>824</v>
      </c>
      <c r="B547" t="s">
        <v>1724</v>
      </c>
      <c r="C547">
        <v>0.54500000000000004</v>
      </c>
      <c r="D547" t="s">
        <v>4204</v>
      </c>
    </row>
    <row r="548" spans="1:4" x14ac:dyDescent="0.25">
      <c r="A548" t="s">
        <v>825</v>
      </c>
      <c r="B548" t="s">
        <v>1725</v>
      </c>
      <c r="C548">
        <v>0.54600000000000004</v>
      </c>
      <c r="D548" t="s">
        <v>4204</v>
      </c>
    </row>
    <row r="549" spans="1:4" x14ac:dyDescent="0.25">
      <c r="A549" t="s">
        <v>826</v>
      </c>
      <c r="B549" t="s">
        <v>1726</v>
      </c>
      <c r="C549">
        <v>0.54700000000000004</v>
      </c>
      <c r="D549" t="s">
        <v>4204</v>
      </c>
    </row>
    <row r="550" spans="1:4" x14ac:dyDescent="0.25">
      <c r="A550" t="s">
        <v>827</v>
      </c>
      <c r="B550" t="s">
        <v>1727</v>
      </c>
      <c r="C550">
        <v>0.54800000000000004</v>
      </c>
      <c r="D550" t="s">
        <v>4204</v>
      </c>
    </row>
    <row r="551" spans="1:4" x14ac:dyDescent="0.25">
      <c r="A551" t="s">
        <v>828</v>
      </c>
      <c r="B551" t="s">
        <v>1728</v>
      </c>
      <c r="C551">
        <v>0.54900000000000004</v>
      </c>
      <c r="D551" t="s">
        <v>4204</v>
      </c>
    </row>
    <row r="552" spans="1:4" x14ac:dyDescent="0.25">
      <c r="A552" t="s">
        <v>829</v>
      </c>
      <c r="B552" t="s">
        <v>1729</v>
      </c>
      <c r="C552">
        <v>0.55000000000000004</v>
      </c>
      <c r="D552" t="s">
        <v>4204</v>
      </c>
    </row>
    <row r="553" spans="1:4" x14ac:dyDescent="0.25">
      <c r="A553" t="s">
        <v>830</v>
      </c>
      <c r="B553" t="s">
        <v>1730</v>
      </c>
      <c r="C553">
        <v>0.55100000000000005</v>
      </c>
      <c r="D553" t="s">
        <v>4204</v>
      </c>
    </row>
    <row r="554" spans="1:4" x14ac:dyDescent="0.25">
      <c r="A554" t="s">
        <v>831</v>
      </c>
      <c r="B554" t="s">
        <v>1731</v>
      </c>
      <c r="C554">
        <v>0.55200000000000005</v>
      </c>
      <c r="D554" t="s">
        <v>4204</v>
      </c>
    </row>
    <row r="555" spans="1:4" x14ac:dyDescent="0.25">
      <c r="A555" t="s">
        <v>832</v>
      </c>
      <c r="B555" t="s">
        <v>1732</v>
      </c>
      <c r="C555">
        <v>0.55300000000000005</v>
      </c>
      <c r="D555" t="s">
        <v>4204</v>
      </c>
    </row>
    <row r="556" spans="1:4" x14ac:dyDescent="0.25">
      <c r="A556" t="s">
        <v>833</v>
      </c>
      <c r="B556" t="s">
        <v>1733</v>
      </c>
      <c r="C556">
        <v>0.55400000000000005</v>
      </c>
      <c r="D556" t="s">
        <v>4204</v>
      </c>
    </row>
    <row r="557" spans="1:4" x14ac:dyDescent="0.25">
      <c r="A557" t="s">
        <v>834</v>
      </c>
      <c r="B557" t="s">
        <v>1734</v>
      </c>
      <c r="C557">
        <v>0.55500000000000005</v>
      </c>
      <c r="D557" t="s">
        <v>4204</v>
      </c>
    </row>
    <row r="558" spans="1:4" x14ac:dyDescent="0.25">
      <c r="A558" t="s">
        <v>835</v>
      </c>
      <c r="B558" t="s">
        <v>1735</v>
      </c>
      <c r="C558">
        <v>0.55600000000000005</v>
      </c>
      <c r="D558" t="s">
        <v>4204</v>
      </c>
    </row>
    <row r="559" spans="1:4" x14ac:dyDescent="0.25">
      <c r="A559" t="s">
        <v>836</v>
      </c>
      <c r="B559" t="s">
        <v>1736</v>
      </c>
      <c r="C559">
        <v>0.55700000000000005</v>
      </c>
      <c r="D559" t="s">
        <v>4204</v>
      </c>
    </row>
    <row r="560" spans="1:4" x14ac:dyDescent="0.25">
      <c r="A560" t="s">
        <v>837</v>
      </c>
      <c r="B560" t="s">
        <v>1737</v>
      </c>
      <c r="C560">
        <v>0.55800000000000005</v>
      </c>
      <c r="D560" t="s">
        <v>4204</v>
      </c>
    </row>
    <row r="561" spans="1:4" x14ac:dyDescent="0.25">
      <c r="A561" t="s">
        <v>838</v>
      </c>
      <c r="B561" t="s">
        <v>1738</v>
      </c>
      <c r="C561">
        <v>0.55900000000000005</v>
      </c>
      <c r="D561" t="s">
        <v>4204</v>
      </c>
    </row>
    <row r="562" spans="1:4" x14ac:dyDescent="0.25">
      <c r="A562" t="s">
        <v>839</v>
      </c>
      <c r="B562" t="s">
        <v>1739</v>
      </c>
      <c r="C562">
        <v>0.56000000000000005</v>
      </c>
      <c r="D562" t="s">
        <v>4204</v>
      </c>
    </row>
    <row r="563" spans="1:4" x14ac:dyDescent="0.25">
      <c r="A563" t="s">
        <v>840</v>
      </c>
      <c r="B563" t="s">
        <v>1740</v>
      </c>
      <c r="C563">
        <v>0.56100000000000005</v>
      </c>
      <c r="D563" t="s">
        <v>4204</v>
      </c>
    </row>
    <row r="564" spans="1:4" x14ac:dyDescent="0.25">
      <c r="A564" t="s">
        <v>841</v>
      </c>
      <c r="B564" t="s">
        <v>1741</v>
      </c>
      <c r="C564">
        <v>0.56200000000000006</v>
      </c>
      <c r="D564" t="s">
        <v>4204</v>
      </c>
    </row>
    <row r="565" spans="1:4" x14ac:dyDescent="0.25">
      <c r="A565" t="s">
        <v>842</v>
      </c>
      <c r="B565" t="s">
        <v>1742</v>
      </c>
      <c r="C565">
        <v>0.56299999999999994</v>
      </c>
      <c r="D565" t="s">
        <v>4204</v>
      </c>
    </row>
    <row r="566" spans="1:4" x14ac:dyDescent="0.25">
      <c r="A566" t="s">
        <v>843</v>
      </c>
      <c r="B566" t="s">
        <v>1743</v>
      </c>
      <c r="C566">
        <v>0.56399999999999995</v>
      </c>
      <c r="D566" t="s">
        <v>4204</v>
      </c>
    </row>
    <row r="567" spans="1:4" x14ac:dyDescent="0.25">
      <c r="A567" t="s">
        <v>844</v>
      </c>
      <c r="B567" t="s">
        <v>1744</v>
      </c>
      <c r="C567">
        <v>0.56499999999999995</v>
      </c>
      <c r="D567" t="s">
        <v>4204</v>
      </c>
    </row>
    <row r="568" spans="1:4" x14ac:dyDescent="0.25">
      <c r="A568" t="s">
        <v>845</v>
      </c>
      <c r="B568" t="s">
        <v>1745</v>
      </c>
      <c r="C568">
        <v>0.56599999999999995</v>
      </c>
      <c r="D568" t="s">
        <v>4204</v>
      </c>
    </row>
    <row r="569" spans="1:4" x14ac:dyDescent="0.25">
      <c r="A569" t="s">
        <v>846</v>
      </c>
      <c r="B569" t="s">
        <v>1746</v>
      </c>
      <c r="C569">
        <v>0.56699999999999995</v>
      </c>
      <c r="D569" t="s">
        <v>4204</v>
      </c>
    </row>
    <row r="570" spans="1:4" x14ac:dyDescent="0.25">
      <c r="A570" t="s">
        <v>847</v>
      </c>
      <c r="B570" t="s">
        <v>1747</v>
      </c>
      <c r="C570">
        <v>0.56799999999999995</v>
      </c>
      <c r="D570" t="s">
        <v>4204</v>
      </c>
    </row>
    <row r="571" spans="1:4" x14ac:dyDescent="0.25">
      <c r="A571" t="s">
        <v>848</v>
      </c>
      <c r="B571" t="s">
        <v>1748</v>
      </c>
      <c r="C571">
        <v>0.56899999999999995</v>
      </c>
      <c r="D571" t="s">
        <v>4204</v>
      </c>
    </row>
    <row r="572" spans="1:4" x14ac:dyDescent="0.25">
      <c r="A572" t="s">
        <v>849</v>
      </c>
      <c r="B572" t="s">
        <v>1749</v>
      </c>
      <c r="C572">
        <v>0.56999999999999995</v>
      </c>
      <c r="D572" t="s">
        <v>4204</v>
      </c>
    </row>
    <row r="573" spans="1:4" x14ac:dyDescent="0.25">
      <c r="A573" t="s">
        <v>850</v>
      </c>
      <c r="B573" t="s">
        <v>1750</v>
      </c>
      <c r="C573">
        <v>0.57099999999999995</v>
      </c>
      <c r="D573" t="s">
        <v>4204</v>
      </c>
    </row>
    <row r="574" spans="1:4" x14ac:dyDescent="0.25">
      <c r="A574" t="s">
        <v>851</v>
      </c>
      <c r="B574" t="s">
        <v>1751</v>
      </c>
      <c r="C574">
        <v>0.57199999999999995</v>
      </c>
      <c r="D574" t="s">
        <v>4204</v>
      </c>
    </row>
    <row r="575" spans="1:4" x14ac:dyDescent="0.25">
      <c r="A575" t="s">
        <v>852</v>
      </c>
      <c r="B575" t="s">
        <v>1752</v>
      </c>
      <c r="C575">
        <v>0.57299999999999995</v>
      </c>
      <c r="D575" t="s">
        <v>4204</v>
      </c>
    </row>
    <row r="576" spans="1:4" x14ac:dyDescent="0.25">
      <c r="A576" t="s">
        <v>853</v>
      </c>
      <c r="B576" t="s">
        <v>1753</v>
      </c>
      <c r="C576">
        <v>0.57399999999999995</v>
      </c>
      <c r="D576" t="s">
        <v>4204</v>
      </c>
    </row>
    <row r="577" spans="1:4" x14ac:dyDescent="0.25">
      <c r="A577" t="s">
        <v>854</v>
      </c>
      <c r="B577" t="s">
        <v>1754</v>
      </c>
      <c r="C577">
        <v>0.57499999999999996</v>
      </c>
      <c r="D577" t="s">
        <v>4204</v>
      </c>
    </row>
    <row r="578" spans="1:4" x14ac:dyDescent="0.25">
      <c r="A578" t="s">
        <v>855</v>
      </c>
      <c r="B578" t="s">
        <v>1755</v>
      </c>
      <c r="C578">
        <v>0.57599999999999996</v>
      </c>
      <c r="D578" t="s">
        <v>4204</v>
      </c>
    </row>
    <row r="579" spans="1:4" x14ac:dyDescent="0.25">
      <c r="A579" t="s">
        <v>856</v>
      </c>
      <c r="B579" t="s">
        <v>1756</v>
      </c>
      <c r="C579">
        <v>0.57699999999999996</v>
      </c>
      <c r="D579" t="s">
        <v>4204</v>
      </c>
    </row>
    <row r="580" spans="1:4" x14ac:dyDescent="0.25">
      <c r="A580" t="s">
        <v>857</v>
      </c>
      <c r="B580" t="s">
        <v>1757</v>
      </c>
      <c r="C580">
        <v>0.57799999999999996</v>
      </c>
      <c r="D580" t="s">
        <v>4204</v>
      </c>
    </row>
    <row r="581" spans="1:4" x14ac:dyDescent="0.25">
      <c r="A581" t="s">
        <v>858</v>
      </c>
      <c r="B581" t="s">
        <v>1758</v>
      </c>
      <c r="C581">
        <v>0.57899999999999996</v>
      </c>
      <c r="D581" t="s">
        <v>4204</v>
      </c>
    </row>
    <row r="582" spans="1:4" x14ac:dyDescent="0.25">
      <c r="A582" t="s">
        <v>859</v>
      </c>
      <c r="B582" t="s">
        <v>1759</v>
      </c>
      <c r="C582">
        <v>0.57999999999999996</v>
      </c>
      <c r="D582" t="s">
        <v>4204</v>
      </c>
    </row>
    <row r="583" spans="1:4" x14ac:dyDescent="0.25">
      <c r="A583" t="s">
        <v>860</v>
      </c>
      <c r="B583" t="s">
        <v>1760</v>
      </c>
      <c r="C583">
        <v>0.58099999999999996</v>
      </c>
      <c r="D583" t="s">
        <v>4204</v>
      </c>
    </row>
    <row r="584" spans="1:4" x14ac:dyDescent="0.25">
      <c r="A584" t="s">
        <v>861</v>
      </c>
      <c r="B584" t="s">
        <v>1761</v>
      </c>
      <c r="C584">
        <v>0.58199999999999996</v>
      </c>
      <c r="D584" t="s">
        <v>4204</v>
      </c>
    </row>
    <row r="585" spans="1:4" x14ac:dyDescent="0.25">
      <c r="A585" t="s">
        <v>862</v>
      </c>
      <c r="B585" t="s">
        <v>1762</v>
      </c>
      <c r="C585">
        <v>0.58299999999999996</v>
      </c>
      <c r="D585" t="s">
        <v>4204</v>
      </c>
    </row>
    <row r="586" spans="1:4" x14ac:dyDescent="0.25">
      <c r="A586" t="s">
        <v>863</v>
      </c>
      <c r="B586" t="s">
        <v>1763</v>
      </c>
      <c r="C586">
        <v>0.58399999999999996</v>
      </c>
      <c r="D586" t="s">
        <v>4204</v>
      </c>
    </row>
    <row r="587" spans="1:4" x14ac:dyDescent="0.25">
      <c r="A587" t="s">
        <v>864</v>
      </c>
      <c r="B587" t="s">
        <v>1764</v>
      </c>
      <c r="C587">
        <v>0.58499999999999996</v>
      </c>
      <c r="D587" t="s">
        <v>4204</v>
      </c>
    </row>
    <row r="588" spans="1:4" x14ac:dyDescent="0.25">
      <c r="A588" t="s">
        <v>865</v>
      </c>
      <c r="B588" t="s">
        <v>1765</v>
      </c>
      <c r="C588">
        <v>0.58599999999999997</v>
      </c>
      <c r="D588" t="s">
        <v>4204</v>
      </c>
    </row>
    <row r="589" spans="1:4" x14ac:dyDescent="0.25">
      <c r="A589" t="s">
        <v>866</v>
      </c>
      <c r="B589" t="s">
        <v>1766</v>
      </c>
      <c r="C589">
        <v>0.58699999999999997</v>
      </c>
      <c r="D589" t="s">
        <v>4204</v>
      </c>
    </row>
    <row r="590" spans="1:4" x14ac:dyDescent="0.25">
      <c r="A590" t="s">
        <v>867</v>
      </c>
      <c r="B590" t="s">
        <v>1767</v>
      </c>
      <c r="C590">
        <v>0.58799999999999997</v>
      </c>
      <c r="D590" t="s">
        <v>4204</v>
      </c>
    </row>
    <row r="591" spans="1:4" x14ac:dyDescent="0.25">
      <c r="A591" t="s">
        <v>868</v>
      </c>
      <c r="B591" t="s">
        <v>1768</v>
      </c>
      <c r="C591">
        <v>0.58899999999999997</v>
      </c>
      <c r="D591" t="s">
        <v>4204</v>
      </c>
    </row>
    <row r="592" spans="1:4" x14ac:dyDescent="0.25">
      <c r="A592" t="s">
        <v>869</v>
      </c>
      <c r="B592" t="s">
        <v>1769</v>
      </c>
      <c r="C592">
        <v>0.59</v>
      </c>
      <c r="D592" t="s">
        <v>4204</v>
      </c>
    </row>
    <row r="593" spans="1:4" x14ac:dyDescent="0.25">
      <c r="A593" t="s">
        <v>870</v>
      </c>
      <c r="B593" t="s">
        <v>1770</v>
      </c>
      <c r="C593">
        <v>0.59099999999999997</v>
      </c>
      <c r="D593" t="s">
        <v>4204</v>
      </c>
    </row>
    <row r="594" spans="1:4" x14ac:dyDescent="0.25">
      <c r="A594" t="s">
        <v>871</v>
      </c>
      <c r="B594" t="s">
        <v>1771</v>
      </c>
      <c r="C594">
        <v>0.59199999999999997</v>
      </c>
      <c r="D594" t="s">
        <v>4204</v>
      </c>
    </row>
    <row r="595" spans="1:4" x14ac:dyDescent="0.25">
      <c r="A595" t="s">
        <v>872</v>
      </c>
      <c r="B595" t="s">
        <v>1772</v>
      </c>
      <c r="C595">
        <v>0.59299999999999997</v>
      </c>
      <c r="D595" t="s">
        <v>4204</v>
      </c>
    </row>
    <row r="596" spans="1:4" x14ac:dyDescent="0.25">
      <c r="A596" t="s">
        <v>873</v>
      </c>
      <c r="B596" t="s">
        <v>1773</v>
      </c>
      <c r="C596">
        <v>0.59399999999999997</v>
      </c>
      <c r="D596" t="s">
        <v>4204</v>
      </c>
    </row>
    <row r="597" spans="1:4" x14ac:dyDescent="0.25">
      <c r="A597" t="s">
        <v>874</v>
      </c>
      <c r="B597" t="s">
        <v>1774</v>
      </c>
      <c r="C597">
        <v>0.59499999999999997</v>
      </c>
      <c r="D597" t="s">
        <v>4204</v>
      </c>
    </row>
    <row r="598" spans="1:4" x14ac:dyDescent="0.25">
      <c r="A598" t="s">
        <v>875</v>
      </c>
      <c r="B598" t="s">
        <v>1775</v>
      </c>
      <c r="C598">
        <v>0.59599999999999997</v>
      </c>
      <c r="D598" t="s">
        <v>4204</v>
      </c>
    </row>
    <row r="599" spans="1:4" x14ac:dyDescent="0.25">
      <c r="A599" t="s">
        <v>876</v>
      </c>
      <c r="B599" t="s">
        <v>1776</v>
      </c>
      <c r="C599">
        <v>0.59699999999999998</v>
      </c>
      <c r="D599" t="s">
        <v>4204</v>
      </c>
    </row>
    <row r="600" spans="1:4" x14ac:dyDescent="0.25">
      <c r="A600" t="s">
        <v>877</v>
      </c>
      <c r="B600" t="s">
        <v>1777</v>
      </c>
      <c r="C600">
        <v>0.59799999999999998</v>
      </c>
      <c r="D600" t="s">
        <v>4204</v>
      </c>
    </row>
    <row r="601" spans="1:4" x14ac:dyDescent="0.25">
      <c r="A601" t="s">
        <v>878</v>
      </c>
      <c r="B601" t="s">
        <v>1778</v>
      </c>
      <c r="C601">
        <v>0.59899999999999998</v>
      </c>
      <c r="D601" t="s">
        <v>4204</v>
      </c>
    </row>
    <row r="602" spans="1:4" x14ac:dyDescent="0.25">
      <c r="A602" t="s">
        <v>879</v>
      </c>
      <c r="B602" t="s">
        <v>1779</v>
      </c>
      <c r="C602">
        <v>0.6</v>
      </c>
      <c r="D602" t="s">
        <v>4204</v>
      </c>
    </row>
    <row r="603" spans="1:4" x14ac:dyDescent="0.25">
      <c r="A603" t="s">
        <v>880</v>
      </c>
      <c r="B603" t="s">
        <v>1780</v>
      </c>
      <c r="C603">
        <v>0.60099999999999998</v>
      </c>
      <c r="D603" t="s">
        <v>4204</v>
      </c>
    </row>
    <row r="604" spans="1:4" x14ac:dyDescent="0.25">
      <c r="A604" t="s">
        <v>881</v>
      </c>
      <c r="B604" t="s">
        <v>1781</v>
      </c>
      <c r="C604">
        <v>0.60199999999999998</v>
      </c>
      <c r="D604" t="s">
        <v>4204</v>
      </c>
    </row>
    <row r="605" spans="1:4" x14ac:dyDescent="0.25">
      <c r="A605" t="s">
        <v>882</v>
      </c>
      <c r="B605" t="s">
        <v>1782</v>
      </c>
      <c r="C605">
        <v>0.60299999999999998</v>
      </c>
      <c r="D605" t="s">
        <v>4204</v>
      </c>
    </row>
    <row r="606" spans="1:4" x14ac:dyDescent="0.25">
      <c r="A606" t="s">
        <v>883</v>
      </c>
      <c r="B606" t="s">
        <v>1783</v>
      </c>
      <c r="C606">
        <v>0.60399999999999998</v>
      </c>
      <c r="D606" t="s">
        <v>4204</v>
      </c>
    </row>
    <row r="607" spans="1:4" x14ac:dyDescent="0.25">
      <c r="A607" t="s">
        <v>884</v>
      </c>
      <c r="B607" t="s">
        <v>1784</v>
      </c>
      <c r="C607">
        <v>0.60499999999999998</v>
      </c>
      <c r="D607" t="s">
        <v>4204</v>
      </c>
    </row>
    <row r="608" spans="1:4" x14ac:dyDescent="0.25">
      <c r="A608" t="s">
        <v>885</v>
      </c>
      <c r="B608" t="s">
        <v>1785</v>
      </c>
      <c r="C608">
        <v>0.60599999999999998</v>
      </c>
      <c r="D608" t="s">
        <v>4204</v>
      </c>
    </row>
    <row r="609" spans="1:4" x14ac:dyDescent="0.25">
      <c r="A609" t="s">
        <v>886</v>
      </c>
      <c r="B609" t="s">
        <v>1786</v>
      </c>
      <c r="C609">
        <v>0.60699999999999998</v>
      </c>
      <c r="D609" t="s">
        <v>4204</v>
      </c>
    </row>
    <row r="610" spans="1:4" x14ac:dyDescent="0.25">
      <c r="A610" t="s">
        <v>887</v>
      </c>
      <c r="B610" t="s">
        <v>1787</v>
      </c>
      <c r="C610">
        <v>0.60799999999999998</v>
      </c>
      <c r="D610" t="s">
        <v>4204</v>
      </c>
    </row>
    <row r="611" spans="1:4" x14ac:dyDescent="0.25">
      <c r="A611" t="s">
        <v>888</v>
      </c>
      <c r="B611" t="s">
        <v>1788</v>
      </c>
      <c r="C611">
        <v>0.60899999999999999</v>
      </c>
      <c r="D611" t="s">
        <v>4204</v>
      </c>
    </row>
    <row r="612" spans="1:4" x14ac:dyDescent="0.25">
      <c r="A612" t="s">
        <v>889</v>
      </c>
      <c r="B612" t="s">
        <v>1789</v>
      </c>
      <c r="C612">
        <v>0.61</v>
      </c>
      <c r="D612" t="s">
        <v>4204</v>
      </c>
    </row>
    <row r="613" spans="1:4" x14ac:dyDescent="0.25">
      <c r="A613" t="s">
        <v>890</v>
      </c>
      <c r="B613" t="s">
        <v>1790</v>
      </c>
      <c r="C613">
        <v>0.61099999999999999</v>
      </c>
      <c r="D613" t="s">
        <v>4204</v>
      </c>
    </row>
    <row r="614" spans="1:4" x14ac:dyDescent="0.25">
      <c r="A614" t="s">
        <v>891</v>
      </c>
      <c r="B614" t="s">
        <v>1791</v>
      </c>
      <c r="C614">
        <v>0.61199999999999999</v>
      </c>
      <c r="D614" t="s">
        <v>4204</v>
      </c>
    </row>
    <row r="615" spans="1:4" x14ac:dyDescent="0.25">
      <c r="A615" t="s">
        <v>892</v>
      </c>
      <c r="B615" t="s">
        <v>1792</v>
      </c>
      <c r="C615">
        <v>0.61299999999999999</v>
      </c>
      <c r="D615" t="s">
        <v>4204</v>
      </c>
    </row>
    <row r="616" spans="1:4" x14ac:dyDescent="0.25">
      <c r="A616" t="s">
        <v>893</v>
      </c>
      <c r="B616" t="s">
        <v>1793</v>
      </c>
      <c r="C616">
        <v>0.61399999999999999</v>
      </c>
      <c r="D616" t="s">
        <v>4204</v>
      </c>
    </row>
    <row r="617" spans="1:4" x14ac:dyDescent="0.25">
      <c r="A617" t="s">
        <v>894</v>
      </c>
      <c r="B617" t="s">
        <v>1794</v>
      </c>
      <c r="C617">
        <v>0.61499999999999999</v>
      </c>
      <c r="D617" t="s">
        <v>4204</v>
      </c>
    </row>
    <row r="618" spans="1:4" x14ac:dyDescent="0.25">
      <c r="A618" t="s">
        <v>895</v>
      </c>
      <c r="B618" t="s">
        <v>1795</v>
      </c>
      <c r="C618">
        <v>0.61599999999999999</v>
      </c>
      <c r="D618" t="s">
        <v>4204</v>
      </c>
    </row>
    <row r="619" spans="1:4" x14ac:dyDescent="0.25">
      <c r="A619" t="s">
        <v>896</v>
      </c>
      <c r="B619" t="s">
        <v>1796</v>
      </c>
      <c r="C619">
        <v>0.61699999999999999</v>
      </c>
      <c r="D619" t="s">
        <v>4204</v>
      </c>
    </row>
    <row r="620" spans="1:4" x14ac:dyDescent="0.25">
      <c r="A620" t="s">
        <v>897</v>
      </c>
      <c r="B620" t="s">
        <v>1797</v>
      </c>
      <c r="C620">
        <v>0.61799999999999999</v>
      </c>
      <c r="D620" t="s">
        <v>4204</v>
      </c>
    </row>
    <row r="621" spans="1:4" x14ac:dyDescent="0.25">
      <c r="A621" t="s">
        <v>898</v>
      </c>
      <c r="B621" t="s">
        <v>1798</v>
      </c>
      <c r="C621">
        <v>0.61899999999999999</v>
      </c>
      <c r="D621" t="s">
        <v>4204</v>
      </c>
    </row>
    <row r="622" spans="1:4" x14ac:dyDescent="0.25">
      <c r="A622" t="s">
        <v>899</v>
      </c>
      <c r="B622" t="s">
        <v>1799</v>
      </c>
      <c r="C622">
        <v>0.62</v>
      </c>
      <c r="D622" t="s">
        <v>4204</v>
      </c>
    </row>
    <row r="623" spans="1:4" x14ac:dyDescent="0.25">
      <c r="A623" t="s">
        <v>900</v>
      </c>
      <c r="B623" t="s">
        <v>1800</v>
      </c>
      <c r="C623">
        <v>0.621</v>
      </c>
      <c r="D623" t="s">
        <v>4204</v>
      </c>
    </row>
    <row r="624" spans="1:4" x14ac:dyDescent="0.25">
      <c r="A624" t="s">
        <v>901</v>
      </c>
      <c r="B624" t="s">
        <v>1801</v>
      </c>
      <c r="C624">
        <v>0.622</v>
      </c>
      <c r="D624" t="s">
        <v>4204</v>
      </c>
    </row>
    <row r="625" spans="1:4" x14ac:dyDescent="0.25">
      <c r="A625" t="s">
        <v>902</v>
      </c>
      <c r="B625" t="s">
        <v>1802</v>
      </c>
      <c r="C625">
        <v>0.623</v>
      </c>
      <c r="D625" t="s">
        <v>4204</v>
      </c>
    </row>
    <row r="626" spans="1:4" x14ac:dyDescent="0.25">
      <c r="A626" t="s">
        <v>903</v>
      </c>
      <c r="B626" t="s">
        <v>1803</v>
      </c>
      <c r="C626">
        <v>0.624</v>
      </c>
      <c r="D626" t="s">
        <v>4204</v>
      </c>
    </row>
    <row r="627" spans="1:4" x14ac:dyDescent="0.25">
      <c r="A627" t="s">
        <v>904</v>
      </c>
      <c r="B627" t="s">
        <v>1804</v>
      </c>
      <c r="C627">
        <v>0.625</v>
      </c>
      <c r="D627" t="s">
        <v>4204</v>
      </c>
    </row>
    <row r="628" spans="1:4" x14ac:dyDescent="0.25">
      <c r="A628" t="s">
        <v>905</v>
      </c>
      <c r="B628" t="s">
        <v>1805</v>
      </c>
      <c r="C628">
        <v>0.626</v>
      </c>
      <c r="D628" t="s">
        <v>4204</v>
      </c>
    </row>
    <row r="629" spans="1:4" x14ac:dyDescent="0.25">
      <c r="A629" t="s">
        <v>906</v>
      </c>
      <c r="B629" t="s">
        <v>1806</v>
      </c>
      <c r="C629">
        <v>0.627</v>
      </c>
      <c r="D629" t="s">
        <v>4204</v>
      </c>
    </row>
    <row r="630" spans="1:4" x14ac:dyDescent="0.25">
      <c r="A630" t="s">
        <v>907</v>
      </c>
      <c r="B630" t="s">
        <v>1807</v>
      </c>
      <c r="C630">
        <v>0.628</v>
      </c>
      <c r="D630" t="s">
        <v>4204</v>
      </c>
    </row>
    <row r="631" spans="1:4" x14ac:dyDescent="0.25">
      <c r="A631" t="s">
        <v>908</v>
      </c>
      <c r="B631" t="s">
        <v>1808</v>
      </c>
      <c r="C631">
        <v>0.629</v>
      </c>
      <c r="D631" t="s">
        <v>4204</v>
      </c>
    </row>
    <row r="632" spans="1:4" x14ac:dyDescent="0.25">
      <c r="A632" t="s">
        <v>909</v>
      </c>
      <c r="B632" t="s">
        <v>1809</v>
      </c>
      <c r="C632">
        <v>0.63</v>
      </c>
      <c r="D632" t="s">
        <v>4204</v>
      </c>
    </row>
    <row r="633" spans="1:4" x14ac:dyDescent="0.25">
      <c r="A633" t="s">
        <v>910</v>
      </c>
      <c r="B633" t="s">
        <v>1810</v>
      </c>
      <c r="C633">
        <v>0.63100000000000001</v>
      </c>
      <c r="D633" t="s">
        <v>4204</v>
      </c>
    </row>
    <row r="634" spans="1:4" x14ac:dyDescent="0.25">
      <c r="A634" t="s">
        <v>911</v>
      </c>
      <c r="B634" t="s">
        <v>1811</v>
      </c>
      <c r="C634">
        <v>0.63200000000000001</v>
      </c>
      <c r="D634" t="s">
        <v>4204</v>
      </c>
    </row>
    <row r="635" spans="1:4" x14ac:dyDescent="0.25">
      <c r="A635" t="s">
        <v>912</v>
      </c>
      <c r="B635" t="s">
        <v>1812</v>
      </c>
      <c r="C635">
        <v>0.63300000000000001</v>
      </c>
      <c r="D635" t="s">
        <v>4204</v>
      </c>
    </row>
    <row r="636" spans="1:4" x14ac:dyDescent="0.25">
      <c r="A636" t="s">
        <v>913</v>
      </c>
      <c r="B636" t="s">
        <v>1813</v>
      </c>
      <c r="C636">
        <v>0.63400000000000001</v>
      </c>
      <c r="D636" t="s">
        <v>4204</v>
      </c>
    </row>
    <row r="637" spans="1:4" x14ac:dyDescent="0.25">
      <c r="A637" t="s">
        <v>914</v>
      </c>
      <c r="B637" t="s">
        <v>1814</v>
      </c>
      <c r="C637">
        <v>0.63500000000000001</v>
      </c>
      <c r="D637" t="s">
        <v>4204</v>
      </c>
    </row>
    <row r="638" spans="1:4" x14ac:dyDescent="0.25">
      <c r="A638" t="s">
        <v>915</v>
      </c>
      <c r="B638" t="s">
        <v>1815</v>
      </c>
      <c r="C638">
        <v>0.63600000000000001</v>
      </c>
      <c r="D638" t="s">
        <v>4204</v>
      </c>
    </row>
    <row r="639" spans="1:4" x14ac:dyDescent="0.25">
      <c r="A639" t="s">
        <v>916</v>
      </c>
      <c r="B639" t="s">
        <v>1816</v>
      </c>
      <c r="C639">
        <v>0.63700000000000001</v>
      </c>
      <c r="D639" t="s">
        <v>4204</v>
      </c>
    </row>
    <row r="640" spans="1:4" x14ac:dyDescent="0.25">
      <c r="A640" t="s">
        <v>917</v>
      </c>
      <c r="B640" t="s">
        <v>1817</v>
      </c>
      <c r="C640">
        <v>0.63800000000000001</v>
      </c>
      <c r="D640" t="s">
        <v>4204</v>
      </c>
    </row>
    <row r="641" spans="1:4" x14ac:dyDescent="0.25">
      <c r="A641" t="s">
        <v>918</v>
      </c>
      <c r="B641" t="s">
        <v>1818</v>
      </c>
      <c r="C641">
        <v>0.63900000000000001</v>
      </c>
      <c r="D641" t="s">
        <v>4204</v>
      </c>
    </row>
    <row r="642" spans="1:4" x14ac:dyDescent="0.25">
      <c r="A642" t="s">
        <v>919</v>
      </c>
      <c r="B642" t="s">
        <v>1819</v>
      </c>
      <c r="C642">
        <v>0.64</v>
      </c>
      <c r="D642" t="s">
        <v>4204</v>
      </c>
    </row>
    <row r="643" spans="1:4" x14ac:dyDescent="0.25">
      <c r="A643" t="s">
        <v>920</v>
      </c>
      <c r="B643" t="s">
        <v>1820</v>
      </c>
      <c r="C643">
        <v>0.64100000000000001</v>
      </c>
      <c r="D643" t="s">
        <v>4204</v>
      </c>
    </row>
    <row r="644" spans="1:4" x14ac:dyDescent="0.25">
      <c r="A644" t="s">
        <v>921</v>
      </c>
      <c r="B644" t="s">
        <v>1821</v>
      </c>
      <c r="C644">
        <v>0.64200000000000002</v>
      </c>
      <c r="D644" t="s">
        <v>4204</v>
      </c>
    </row>
    <row r="645" spans="1:4" x14ac:dyDescent="0.25">
      <c r="A645" t="s">
        <v>922</v>
      </c>
      <c r="B645" t="s">
        <v>1822</v>
      </c>
      <c r="C645">
        <v>0.64300000000000002</v>
      </c>
      <c r="D645" t="s">
        <v>4204</v>
      </c>
    </row>
    <row r="646" spans="1:4" x14ac:dyDescent="0.25">
      <c r="A646" t="s">
        <v>923</v>
      </c>
      <c r="B646" t="s">
        <v>1823</v>
      </c>
      <c r="C646">
        <v>0.64400000000000002</v>
      </c>
      <c r="D646" t="s">
        <v>4204</v>
      </c>
    </row>
    <row r="647" spans="1:4" x14ac:dyDescent="0.25">
      <c r="A647" t="s">
        <v>924</v>
      </c>
      <c r="B647" t="s">
        <v>1824</v>
      </c>
      <c r="C647">
        <v>0.64500000000000002</v>
      </c>
      <c r="D647" t="s">
        <v>4204</v>
      </c>
    </row>
    <row r="648" spans="1:4" x14ac:dyDescent="0.25">
      <c r="A648" t="s">
        <v>925</v>
      </c>
      <c r="B648" t="s">
        <v>1825</v>
      </c>
      <c r="C648">
        <v>0.64600000000000002</v>
      </c>
      <c r="D648" t="s">
        <v>4204</v>
      </c>
    </row>
    <row r="649" spans="1:4" x14ac:dyDescent="0.25">
      <c r="A649" t="s">
        <v>926</v>
      </c>
      <c r="B649" t="s">
        <v>1826</v>
      </c>
      <c r="C649">
        <v>0.64700000000000002</v>
      </c>
      <c r="D649" t="s">
        <v>4204</v>
      </c>
    </row>
    <row r="650" spans="1:4" x14ac:dyDescent="0.25">
      <c r="A650" t="s">
        <v>927</v>
      </c>
      <c r="B650" t="s">
        <v>1827</v>
      </c>
      <c r="C650">
        <v>0.64800000000000002</v>
      </c>
      <c r="D650" t="s">
        <v>4204</v>
      </c>
    </row>
    <row r="651" spans="1:4" x14ac:dyDescent="0.25">
      <c r="A651" t="s">
        <v>928</v>
      </c>
      <c r="B651" t="s">
        <v>1828</v>
      </c>
      <c r="C651">
        <v>0.64900000000000002</v>
      </c>
      <c r="D651" t="s">
        <v>4204</v>
      </c>
    </row>
    <row r="652" spans="1:4" x14ac:dyDescent="0.25">
      <c r="A652" t="s">
        <v>929</v>
      </c>
      <c r="B652" t="s">
        <v>1829</v>
      </c>
      <c r="C652">
        <v>0.65</v>
      </c>
      <c r="D652" t="s">
        <v>4204</v>
      </c>
    </row>
    <row r="653" spans="1:4" x14ac:dyDescent="0.25">
      <c r="A653" t="s">
        <v>930</v>
      </c>
      <c r="B653" t="s">
        <v>1830</v>
      </c>
      <c r="C653">
        <v>0.65100000000000002</v>
      </c>
      <c r="D653" t="s">
        <v>4204</v>
      </c>
    </row>
    <row r="654" spans="1:4" x14ac:dyDescent="0.25">
      <c r="A654" t="s">
        <v>931</v>
      </c>
      <c r="B654" t="s">
        <v>1831</v>
      </c>
      <c r="C654">
        <v>0.65200000000000002</v>
      </c>
      <c r="D654" t="s">
        <v>4204</v>
      </c>
    </row>
    <row r="655" spans="1:4" x14ac:dyDescent="0.25">
      <c r="A655" t="s">
        <v>932</v>
      </c>
      <c r="B655" t="s">
        <v>1832</v>
      </c>
      <c r="C655">
        <v>0.65300000000000002</v>
      </c>
      <c r="D655" t="s">
        <v>4204</v>
      </c>
    </row>
    <row r="656" spans="1:4" x14ac:dyDescent="0.25">
      <c r="A656" t="s">
        <v>933</v>
      </c>
      <c r="B656" t="s">
        <v>1833</v>
      </c>
      <c r="C656">
        <v>0.65400000000000003</v>
      </c>
      <c r="D656" t="s">
        <v>4204</v>
      </c>
    </row>
    <row r="657" spans="1:4" x14ac:dyDescent="0.25">
      <c r="A657" t="s">
        <v>934</v>
      </c>
      <c r="B657" t="s">
        <v>1834</v>
      </c>
      <c r="C657">
        <v>0.65500000000000003</v>
      </c>
      <c r="D657" t="s">
        <v>4204</v>
      </c>
    </row>
    <row r="658" spans="1:4" x14ac:dyDescent="0.25">
      <c r="A658" t="s">
        <v>935</v>
      </c>
      <c r="B658" t="s">
        <v>1835</v>
      </c>
      <c r="C658">
        <v>0.65600000000000003</v>
      </c>
      <c r="D658" t="s">
        <v>4204</v>
      </c>
    </row>
    <row r="659" spans="1:4" x14ac:dyDescent="0.25">
      <c r="A659" t="s">
        <v>936</v>
      </c>
      <c r="B659" t="s">
        <v>1836</v>
      </c>
      <c r="C659">
        <v>0.65700000000000003</v>
      </c>
      <c r="D659" t="s">
        <v>4204</v>
      </c>
    </row>
    <row r="660" spans="1:4" x14ac:dyDescent="0.25">
      <c r="A660" t="s">
        <v>937</v>
      </c>
      <c r="B660" t="s">
        <v>1837</v>
      </c>
      <c r="C660">
        <v>0.65800000000000003</v>
      </c>
      <c r="D660" t="s">
        <v>4204</v>
      </c>
    </row>
    <row r="661" spans="1:4" x14ac:dyDescent="0.25">
      <c r="A661" t="s">
        <v>938</v>
      </c>
      <c r="B661" t="s">
        <v>1838</v>
      </c>
      <c r="C661">
        <v>0.65900000000000003</v>
      </c>
      <c r="D661" t="s">
        <v>4204</v>
      </c>
    </row>
    <row r="662" spans="1:4" x14ac:dyDescent="0.25">
      <c r="A662" t="s">
        <v>939</v>
      </c>
      <c r="B662" t="s">
        <v>1839</v>
      </c>
      <c r="C662">
        <v>0.66000000000000103</v>
      </c>
      <c r="D662" t="s">
        <v>4204</v>
      </c>
    </row>
    <row r="663" spans="1:4" x14ac:dyDescent="0.25">
      <c r="A663" t="s">
        <v>940</v>
      </c>
      <c r="B663" t="s">
        <v>1840</v>
      </c>
      <c r="C663">
        <v>0.66100000000000103</v>
      </c>
      <c r="D663" t="s">
        <v>4204</v>
      </c>
    </row>
    <row r="664" spans="1:4" x14ac:dyDescent="0.25">
      <c r="A664" t="s">
        <v>941</v>
      </c>
      <c r="B664" t="s">
        <v>1841</v>
      </c>
      <c r="C664">
        <v>0.66200000000000103</v>
      </c>
      <c r="D664" t="s">
        <v>4204</v>
      </c>
    </row>
    <row r="665" spans="1:4" x14ac:dyDescent="0.25">
      <c r="A665" t="s">
        <v>942</v>
      </c>
      <c r="B665" t="s">
        <v>1842</v>
      </c>
      <c r="C665">
        <v>0.66300000000000103</v>
      </c>
      <c r="D665" t="s">
        <v>4204</v>
      </c>
    </row>
    <row r="666" spans="1:4" x14ac:dyDescent="0.25">
      <c r="A666" t="s">
        <v>943</v>
      </c>
      <c r="B666" t="s">
        <v>1843</v>
      </c>
      <c r="C666">
        <v>0.66400000000000103</v>
      </c>
      <c r="D666" t="s">
        <v>4204</v>
      </c>
    </row>
    <row r="667" spans="1:4" x14ac:dyDescent="0.25">
      <c r="A667" t="s">
        <v>944</v>
      </c>
      <c r="B667" t="s">
        <v>1844</v>
      </c>
      <c r="C667">
        <v>0.66500000000000103</v>
      </c>
      <c r="D667" t="s">
        <v>4204</v>
      </c>
    </row>
    <row r="668" spans="1:4" x14ac:dyDescent="0.25">
      <c r="A668" t="s">
        <v>945</v>
      </c>
      <c r="B668" t="s">
        <v>1845</v>
      </c>
      <c r="C668">
        <v>0.66600000000000104</v>
      </c>
      <c r="D668" t="s">
        <v>4204</v>
      </c>
    </row>
    <row r="669" spans="1:4" x14ac:dyDescent="0.25">
      <c r="A669" t="s">
        <v>946</v>
      </c>
      <c r="B669" t="s">
        <v>1846</v>
      </c>
      <c r="C669">
        <v>0.66700000000000104</v>
      </c>
      <c r="D669" t="s">
        <v>4204</v>
      </c>
    </row>
    <row r="670" spans="1:4" x14ac:dyDescent="0.25">
      <c r="A670" t="s">
        <v>947</v>
      </c>
      <c r="B670" t="s">
        <v>1847</v>
      </c>
      <c r="C670">
        <v>0.66800000000000104</v>
      </c>
      <c r="D670" t="s">
        <v>4204</v>
      </c>
    </row>
    <row r="671" spans="1:4" x14ac:dyDescent="0.25">
      <c r="A671" t="s">
        <v>948</v>
      </c>
      <c r="B671" t="s">
        <v>1848</v>
      </c>
      <c r="C671">
        <v>0.66900000000000104</v>
      </c>
      <c r="D671" t="s">
        <v>4204</v>
      </c>
    </row>
    <row r="672" spans="1:4" x14ac:dyDescent="0.25">
      <c r="A672" t="s">
        <v>949</v>
      </c>
      <c r="B672" t="s">
        <v>1849</v>
      </c>
      <c r="C672">
        <v>0.67000000000000104</v>
      </c>
      <c r="D672" t="s">
        <v>4204</v>
      </c>
    </row>
    <row r="673" spans="1:4" x14ac:dyDescent="0.25">
      <c r="A673" t="s">
        <v>950</v>
      </c>
      <c r="B673" t="s">
        <v>1850</v>
      </c>
      <c r="C673">
        <v>0.67100000000000104</v>
      </c>
      <c r="D673" t="s">
        <v>4204</v>
      </c>
    </row>
    <row r="674" spans="1:4" x14ac:dyDescent="0.25">
      <c r="A674" t="s">
        <v>951</v>
      </c>
      <c r="B674" t="s">
        <v>1851</v>
      </c>
      <c r="C674">
        <v>0.67200000000000104</v>
      </c>
      <c r="D674" t="s">
        <v>4204</v>
      </c>
    </row>
    <row r="675" spans="1:4" x14ac:dyDescent="0.25">
      <c r="A675" t="s">
        <v>952</v>
      </c>
      <c r="B675" t="s">
        <v>1852</v>
      </c>
      <c r="C675">
        <v>0.67300000000000104</v>
      </c>
      <c r="D675" t="s">
        <v>4204</v>
      </c>
    </row>
    <row r="676" spans="1:4" x14ac:dyDescent="0.25">
      <c r="A676" t="s">
        <v>953</v>
      </c>
      <c r="B676" t="s">
        <v>1853</v>
      </c>
      <c r="C676">
        <v>0.67400000000000104</v>
      </c>
      <c r="D676" t="s">
        <v>4204</v>
      </c>
    </row>
    <row r="677" spans="1:4" x14ac:dyDescent="0.25">
      <c r="A677" t="s">
        <v>954</v>
      </c>
      <c r="B677" t="s">
        <v>1854</v>
      </c>
      <c r="C677">
        <v>0.67500000000000104</v>
      </c>
      <c r="D677" t="s">
        <v>4204</v>
      </c>
    </row>
    <row r="678" spans="1:4" x14ac:dyDescent="0.25">
      <c r="A678" t="s">
        <v>955</v>
      </c>
      <c r="B678" t="s">
        <v>1855</v>
      </c>
      <c r="C678">
        <v>0.67600000000000104</v>
      </c>
      <c r="D678" t="s">
        <v>4204</v>
      </c>
    </row>
    <row r="679" spans="1:4" x14ac:dyDescent="0.25">
      <c r="A679" t="s">
        <v>956</v>
      </c>
      <c r="B679" t="s">
        <v>1856</v>
      </c>
      <c r="C679">
        <v>0.67700000000000105</v>
      </c>
      <c r="D679" t="s">
        <v>4204</v>
      </c>
    </row>
    <row r="680" spans="1:4" x14ac:dyDescent="0.25">
      <c r="A680" t="s">
        <v>957</v>
      </c>
      <c r="B680" t="s">
        <v>1857</v>
      </c>
      <c r="C680">
        <v>0.67800000000000105</v>
      </c>
      <c r="D680" t="s">
        <v>4204</v>
      </c>
    </row>
    <row r="681" spans="1:4" x14ac:dyDescent="0.25">
      <c r="A681" t="s">
        <v>958</v>
      </c>
      <c r="B681" t="s">
        <v>1858</v>
      </c>
      <c r="C681">
        <v>0.67900000000000105</v>
      </c>
      <c r="D681" t="s">
        <v>4204</v>
      </c>
    </row>
    <row r="682" spans="1:4" x14ac:dyDescent="0.25">
      <c r="A682" t="s">
        <v>959</v>
      </c>
      <c r="B682" t="s">
        <v>1859</v>
      </c>
      <c r="C682">
        <v>0.68000000000000105</v>
      </c>
      <c r="D682" t="s">
        <v>4204</v>
      </c>
    </row>
    <row r="683" spans="1:4" x14ac:dyDescent="0.25">
      <c r="A683" t="s">
        <v>960</v>
      </c>
      <c r="B683" t="s">
        <v>1860</v>
      </c>
      <c r="C683">
        <v>0.68100000000000105</v>
      </c>
      <c r="D683" t="s">
        <v>4204</v>
      </c>
    </row>
    <row r="684" spans="1:4" x14ac:dyDescent="0.25">
      <c r="A684" t="s">
        <v>961</v>
      </c>
      <c r="B684" t="s">
        <v>1861</v>
      </c>
      <c r="C684">
        <v>0.68200000000000105</v>
      </c>
      <c r="D684" t="s">
        <v>4204</v>
      </c>
    </row>
    <row r="685" spans="1:4" x14ac:dyDescent="0.25">
      <c r="A685" t="s">
        <v>962</v>
      </c>
      <c r="B685" t="s">
        <v>1862</v>
      </c>
      <c r="C685">
        <v>0.68300000000000105</v>
      </c>
      <c r="D685" t="s">
        <v>4204</v>
      </c>
    </row>
    <row r="686" spans="1:4" x14ac:dyDescent="0.25">
      <c r="A686" t="s">
        <v>963</v>
      </c>
      <c r="B686" t="s">
        <v>1863</v>
      </c>
      <c r="C686">
        <v>0.68400000000000105</v>
      </c>
      <c r="D686" t="s">
        <v>4204</v>
      </c>
    </row>
    <row r="687" spans="1:4" x14ac:dyDescent="0.25">
      <c r="A687" t="s">
        <v>964</v>
      </c>
      <c r="B687" t="s">
        <v>1864</v>
      </c>
      <c r="C687">
        <v>0.68500000000000105</v>
      </c>
      <c r="D687" t="s">
        <v>4204</v>
      </c>
    </row>
    <row r="688" spans="1:4" x14ac:dyDescent="0.25">
      <c r="A688" t="s">
        <v>965</v>
      </c>
      <c r="B688" t="s">
        <v>1865</v>
      </c>
      <c r="C688">
        <v>0.68600000000000105</v>
      </c>
      <c r="D688" t="s">
        <v>4204</v>
      </c>
    </row>
    <row r="689" spans="1:4" x14ac:dyDescent="0.25">
      <c r="A689" t="s">
        <v>966</v>
      </c>
      <c r="B689" t="s">
        <v>1866</v>
      </c>
      <c r="C689">
        <v>0.68700000000000105</v>
      </c>
      <c r="D689" t="s">
        <v>4204</v>
      </c>
    </row>
    <row r="690" spans="1:4" x14ac:dyDescent="0.25">
      <c r="A690" t="s">
        <v>967</v>
      </c>
      <c r="B690" t="s">
        <v>1867</v>
      </c>
      <c r="C690">
        <v>0.68800000000000106</v>
      </c>
      <c r="D690" t="s">
        <v>4204</v>
      </c>
    </row>
    <row r="691" spans="1:4" x14ac:dyDescent="0.25">
      <c r="A691" t="s">
        <v>968</v>
      </c>
      <c r="B691" t="s">
        <v>1868</v>
      </c>
      <c r="C691">
        <v>0.68900000000000095</v>
      </c>
      <c r="D691" t="s">
        <v>4204</v>
      </c>
    </row>
    <row r="692" spans="1:4" x14ac:dyDescent="0.25">
      <c r="A692" t="s">
        <v>969</v>
      </c>
      <c r="B692" t="s">
        <v>1869</v>
      </c>
      <c r="C692">
        <v>0.69000000000000095</v>
      </c>
      <c r="D692" t="s">
        <v>4204</v>
      </c>
    </row>
    <row r="693" spans="1:4" x14ac:dyDescent="0.25">
      <c r="A693" t="s">
        <v>970</v>
      </c>
      <c r="B693" t="s">
        <v>1870</v>
      </c>
      <c r="C693">
        <v>0.69100000000000095</v>
      </c>
      <c r="D693" t="s">
        <v>4204</v>
      </c>
    </row>
    <row r="694" spans="1:4" x14ac:dyDescent="0.25">
      <c r="A694" t="s">
        <v>971</v>
      </c>
      <c r="B694" t="s">
        <v>1871</v>
      </c>
      <c r="C694">
        <v>0.69200000000000095</v>
      </c>
      <c r="D694" t="s">
        <v>4204</v>
      </c>
    </row>
    <row r="695" spans="1:4" x14ac:dyDescent="0.25">
      <c r="A695" t="s">
        <v>972</v>
      </c>
      <c r="B695" t="s">
        <v>1872</v>
      </c>
      <c r="C695">
        <v>0.69300000000000095</v>
      </c>
      <c r="D695" t="s">
        <v>4204</v>
      </c>
    </row>
    <row r="696" spans="1:4" x14ac:dyDescent="0.25">
      <c r="A696" t="s">
        <v>973</v>
      </c>
      <c r="B696" t="s">
        <v>1873</v>
      </c>
      <c r="C696">
        <v>0.69400000000000095</v>
      </c>
      <c r="D696" t="s">
        <v>4204</v>
      </c>
    </row>
    <row r="697" spans="1:4" x14ac:dyDescent="0.25">
      <c r="A697" t="s">
        <v>974</v>
      </c>
      <c r="B697" t="s">
        <v>1874</v>
      </c>
      <c r="C697">
        <v>0.69500000000000095</v>
      </c>
      <c r="D697" t="s">
        <v>4204</v>
      </c>
    </row>
    <row r="698" spans="1:4" x14ac:dyDescent="0.25">
      <c r="A698" t="s">
        <v>975</v>
      </c>
      <c r="B698" t="s">
        <v>1875</v>
      </c>
      <c r="C698">
        <v>0.69600000000000095</v>
      </c>
      <c r="D698" t="s">
        <v>4204</v>
      </c>
    </row>
    <row r="699" spans="1:4" x14ac:dyDescent="0.25">
      <c r="A699" t="s">
        <v>976</v>
      </c>
      <c r="B699" t="s">
        <v>1876</v>
      </c>
      <c r="C699">
        <v>0.69700000000000095</v>
      </c>
      <c r="D699" t="s">
        <v>4204</v>
      </c>
    </row>
    <row r="700" spans="1:4" x14ac:dyDescent="0.25">
      <c r="A700" t="s">
        <v>977</v>
      </c>
      <c r="B700" t="s">
        <v>1877</v>
      </c>
      <c r="C700">
        <v>0.69800000000000095</v>
      </c>
      <c r="D700" t="s">
        <v>4204</v>
      </c>
    </row>
    <row r="701" spans="1:4" x14ac:dyDescent="0.25">
      <c r="A701" t="s">
        <v>978</v>
      </c>
      <c r="B701" t="s">
        <v>1878</v>
      </c>
      <c r="C701">
        <v>0.69900000000000095</v>
      </c>
      <c r="D701" t="s">
        <v>4204</v>
      </c>
    </row>
    <row r="702" spans="1:4" x14ac:dyDescent="0.25">
      <c r="A702" t="s">
        <v>979</v>
      </c>
      <c r="B702" t="s">
        <v>1879</v>
      </c>
      <c r="C702">
        <v>0.70000000000000095</v>
      </c>
      <c r="D702" t="s">
        <v>4204</v>
      </c>
    </row>
    <row r="703" spans="1:4" x14ac:dyDescent="0.25">
      <c r="A703" t="s">
        <v>980</v>
      </c>
      <c r="B703" t="s">
        <v>1880</v>
      </c>
      <c r="C703">
        <v>0.70100000000000096</v>
      </c>
      <c r="D703" t="s">
        <v>4204</v>
      </c>
    </row>
    <row r="704" spans="1:4" x14ac:dyDescent="0.25">
      <c r="A704" t="s">
        <v>981</v>
      </c>
      <c r="B704" t="s">
        <v>1881</v>
      </c>
      <c r="C704">
        <v>0.70200000000000096</v>
      </c>
      <c r="D704" t="s">
        <v>4204</v>
      </c>
    </row>
    <row r="705" spans="1:4" x14ac:dyDescent="0.25">
      <c r="A705" t="s">
        <v>982</v>
      </c>
      <c r="B705" t="s">
        <v>1882</v>
      </c>
      <c r="C705">
        <v>0.70300000000000096</v>
      </c>
      <c r="D705" t="s">
        <v>4204</v>
      </c>
    </row>
    <row r="706" spans="1:4" x14ac:dyDescent="0.25">
      <c r="A706" t="s">
        <v>983</v>
      </c>
      <c r="B706" t="s">
        <v>1883</v>
      </c>
      <c r="C706">
        <v>0.70400000000000096</v>
      </c>
      <c r="D706" t="s">
        <v>4204</v>
      </c>
    </row>
    <row r="707" spans="1:4" x14ac:dyDescent="0.25">
      <c r="A707" t="s">
        <v>984</v>
      </c>
      <c r="B707" t="s">
        <v>1884</v>
      </c>
      <c r="C707">
        <v>0.70500000000000096</v>
      </c>
      <c r="D707" t="s">
        <v>4204</v>
      </c>
    </row>
    <row r="708" spans="1:4" x14ac:dyDescent="0.25">
      <c r="A708" t="s">
        <v>985</v>
      </c>
      <c r="B708" t="s">
        <v>1885</v>
      </c>
      <c r="C708">
        <v>0.70600000000000096</v>
      </c>
      <c r="D708" t="s">
        <v>4204</v>
      </c>
    </row>
    <row r="709" spans="1:4" x14ac:dyDescent="0.25">
      <c r="A709" t="s">
        <v>986</v>
      </c>
      <c r="B709" t="s">
        <v>1886</v>
      </c>
      <c r="C709">
        <v>0.70700000000000096</v>
      </c>
      <c r="D709" t="s">
        <v>4204</v>
      </c>
    </row>
    <row r="710" spans="1:4" x14ac:dyDescent="0.25">
      <c r="A710" t="s">
        <v>987</v>
      </c>
      <c r="B710" t="s">
        <v>1887</v>
      </c>
      <c r="C710">
        <v>0.70800000000000096</v>
      </c>
      <c r="D710" t="s">
        <v>4204</v>
      </c>
    </row>
    <row r="711" spans="1:4" x14ac:dyDescent="0.25">
      <c r="A711" t="s">
        <v>988</v>
      </c>
      <c r="B711" t="s">
        <v>1888</v>
      </c>
      <c r="C711">
        <v>0.70900000000000096</v>
      </c>
      <c r="D711" t="s">
        <v>4204</v>
      </c>
    </row>
    <row r="712" spans="1:4" x14ac:dyDescent="0.25">
      <c r="A712" t="s">
        <v>989</v>
      </c>
      <c r="B712" t="s">
        <v>1889</v>
      </c>
      <c r="C712">
        <v>0.71000000000000096</v>
      </c>
      <c r="D712" t="s">
        <v>4204</v>
      </c>
    </row>
    <row r="713" spans="1:4" x14ac:dyDescent="0.25">
      <c r="A713" t="s">
        <v>990</v>
      </c>
      <c r="B713" t="s">
        <v>1890</v>
      </c>
      <c r="C713">
        <v>0.71100000000000096</v>
      </c>
      <c r="D713" t="s">
        <v>4204</v>
      </c>
    </row>
    <row r="714" spans="1:4" x14ac:dyDescent="0.25">
      <c r="A714" t="s">
        <v>991</v>
      </c>
      <c r="B714" t="s">
        <v>1891</v>
      </c>
      <c r="C714">
        <v>0.71200000000000097</v>
      </c>
      <c r="D714" t="s">
        <v>4204</v>
      </c>
    </row>
    <row r="715" spans="1:4" x14ac:dyDescent="0.25">
      <c r="A715" t="s">
        <v>992</v>
      </c>
      <c r="B715" t="s">
        <v>1892</v>
      </c>
      <c r="C715">
        <v>0.71300000000000097</v>
      </c>
      <c r="D715" t="s">
        <v>4204</v>
      </c>
    </row>
    <row r="716" spans="1:4" x14ac:dyDescent="0.25">
      <c r="A716" t="s">
        <v>993</v>
      </c>
      <c r="B716" t="s">
        <v>1893</v>
      </c>
      <c r="C716">
        <v>0.71400000000000097</v>
      </c>
      <c r="D716" t="s">
        <v>4204</v>
      </c>
    </row>
    <row r="717" spans="1:4" x14ac:dyDescent="0.25">
      <c r="A717" t="s">
        <v>994</v>
      </c>
      <c r="B717" t="s">
        <v>1894</v>
      </c>
      <c r="C717">
        <v>0.71500000000000097</v>
      </c>
      <c r="D717" t="s">
        <v>4204</v>
      </c>
    </row>
    <row r="718" spans="1:4" x14ac:dyDescent="0.25">
      <c r="A718" t="s">
        <v>995</v>
      </c>
      <c r="B718" t="s">
        <v>1895</v>
      </c>
      <c r="C718">
        <v>0.71600000000000097</v>
      </c>
      <c r="D718" t="s">
        <v>4204</v>
      </c>
    </row>
    <row r="719" spans="1:4" x14ac:dyDescent="0.25">
      <c r="A719" t="s">
        <v>996</v>
      </c>
      <c r="B719" t="s">
        <v>1896</v>
      </c>
      <c r="C719">
        <v>0.71700000000000097</v>
      </c>
      <c r="D719" t="s">
        <v>4204</v>
      </c>
    </row>
    <row r="720" spans="1:4" x14ac:dyDescent="0.25">
      <c r="A720" t="s">
        <v>997</v>
      </c>
      <c r="B720" t="s">
        <v>1897</v>
      </c>
      <c r="C720">
        <v>0.71800000000000097</v>
      </c>
      <c r="D720" t="s">
        <v>4204</v>
      </c>
    </row>
    <row r="721" spans="1:4" x14ac:dyDescent="0.25">
      <c r="A721" t="s">
        <v>998</v>
      </c>
      <c r="B721" t="s">
        <v>1898</v>
      </c>
      <c r="C721">
        <v>0.71900000000000097</v>
      </c>
      <c r="D721" t="s">
        <v>4204</v>
      </c>
    </row>
    <row r="722" spans="1:4" x14ac:dyDescent="0.25">
      <c r="A722" t="s">
        <v>999</v>
      </c>
      <c r="B722" t="s">
        <v>1899</v>
      </c>
      <c r="C722">
        <v>0.72000000000000097</v>
      </c>
      <c r="D722" t="s">
        <v>4204</v>
      </c>
    </row>
    <row r="723" spans="1:4" x14ac:dyDescent="0.25">
      <c r="A723" t="s">
        <v>1000</v>
      </c>
      <c r="B723" t="s">
        <v>1900</v>
      </c>
      <c r="C723">
        <v>0.72100000000000097</v>
      </c>
      <c r="D723" t="s">
        <v>4204</v>
      </c>
    </row>
    <row r="724" spans="1:4" x14ac:dyDescent="0.25">
      <c r="A724" t="s">
        <v>1001</v>
      </c>
      <c r="B724" t="s">
        <v>1901</v>
      </c>
      <c r="C724">
        <v>0.72200000000000097</v>
      </c>
      <c r="D724" t="s">
        <v>4204</v>
      </c>
    </row>
    <row r="725" spans="1:4" x14ac:dyDescent="0.25">
      <c r="A725" t="s">
        <v>1002</v>
      </c>
      <c r="B725" t="s">
        <v>1902</v>
      </c>
      <c r="C725">
        <v>0.72300000000000098</v>
      </c>
      <c r="D725" t="s">
        <v>4204</v>
      </c>
    </row>
    <row r="726" spans="1:4" x14ac:dyDescent="0.25">
      <c r="A726" t="s">
        <v>1003</v>
      </c>
      <c r="B726" t="s">
        <v>1903</v>
      </c>
      <c r="C726">
        <v>0.72400000000000098</v>
      </c>
      <c r="D726" t="s">
        <v>4204</v>
      </c>
    </row>
    <row r="727" spans="1:4" x14ac:dyDescent="0.25">
      <c r="A727" t="s">
        <v>1004</v>
      </c>
      <c r="B727" t="s">
        <v>1904</v>
      </c>
      <c r="C727">
        <v>0.72500000000000098</v>
      </c>
      <c r="D727" t="s">
        <v>4204</v>
      </c>
    </row>
    <row r="728" spans="1:4" x14ac:dyDescent="0.25">
      <c r="A728" t="s">
        <v>1005</v>
      </c>
      <c r="B728" t="s">
        <v>1905</v>
      </c>
      <c r="C728">
        <v>0.72600000000000098</v>
      </c>
      <c r="D728" t="s">
        <v>4204</v>
      </c>
    </row>
    <row r="729" spans="1:4" x14ac:dyDescent="0.25">
      <c r="A729" t="s">
        <v>1006</v>
      </c>
      <c r="B729" t="s">
        <v>1906</v>
      </c>
      <c r="C729">
        <v>0.72700000000000098</v>
      </c>
      <c r="D729" t="s">
        <v>4204</v>
      </c>
    </row>
    <row r="730" spans="1:4" x14ac:dyDescent="0.25">
      <c r="A730" t="s">
        <v>1007</v>
      </c>
      <c r="B730" t="s">
        <v>1907</v>
      </c>
      <c r="C730">
        <v>0.72800000000000098</v>
      </c>
      <c r="D730" t="s">
        <v>4204</v>
      </c>
    </row>
    <row r="731" spans="1:4" x14ac:dyDescent="0.25">
      <c r="A731" t="s">
        <v>1008</v>
      </c>
      <c r="B731" t="s">
        <v>1908</v>
      </c>
      <c r="C731">
        <v>0.72900000000000098</v>
      </c>
      <c r="D731" t="s">
        <v>4204</v>
      </c>
    </row>
    <row r="732" spans="1:4" x14ac:dyDescent="0.25">
      <c r="A732" t="s">
        <v>1009</v>
      </c>
      <c r="B732" t="s">
        <v>1909</v>
      </c>
      <c r="C732">
        <v>0.73000000000000098</v>
      </c>
      <c r="D732" t="s">
        <v>4204</v>
      </c>
    </row>
    <row r="733" spans="1:4" x14ac:dyDescent="0.25">
      <c r="A733" t="s">
        <v>1010</v>
      </c>
      <c r="B733" t="s">
        <v>1910</v>
      </c>
      <c r="C733">
        <v>0.73100000000000098</v>
      </c>
      <c r="D733" t="s">
        <v>4204</v>
      </c>
    </row>
    <row r="734" spans="1:4" x14ac:dyDescent="0.25">
      <c r="A734" t="s">
        <v>1011</v>
      </c>
      <c r="B734" t="s">
        <v>1911</v>
      </c>
      <c r="C734">
        <v>0.73200000000000098</v>
      </c>
      <c r="D734" t="s">
        <v>4204</v>
      </c>
    </row>
    <row r="735" spans="1:4" x14ac:dyDescent="0.25">
      <c r="A735" t="s">
        <v>1012</v>
      </c>
      <c r="B735" t="s">
        <v>1912</v>
      </c>
      <c r="C735">
        <v>0.73300000000000098</v>
      </c>
      <c r="D735" t="s">
        <v>4204</v>
      </c>
    </row>
    <row r="736" spans="1:4" x14ac:dyDescent="0.25">
      <c r="A736" t="s">
        <v>1013</v>
      </c>
      <c r="B736" t="s">
        <v>1913</v>
      </c>
      <c r="C736">
        <v>0.73400000000000098</v>
      </c>
      <c r="D736" t="s">
        <v>4204</v>
      </c>
    </row>
    <row r="737" spans="1:4" x14ac:dyDescent="0.25">
      <c r="A737" t="s">
        <v>1014</v>
      </c>
      <c r="B737" t="s">
        <v>1914</v>
      </c>
      <c r="C737">
        <v>0.73500000000000099</v>
      </c>
      <c r="D737" t="s">
        <v>4204</v>
      </c>
    </row>
    <row r="738" spans="1:4" x14ac:dyDescent="0.25">
      <c r="A738" t="s">
        <v>1015</v>
      </c>
      <c r="B738" t="s">
        <v>1915</v>
      </c>
      <c r="C738">
        <v>0.73600000000000099</v>
      </c>
      <c r="D738" t="s">
        <v>4204</v>
      </c>
    </row>
    <row r="739" spans="1:4" x14ac:dyDescent="0.25">
      <c r="A739" t="s">
        <v>1016</v>
      </c>
      <c r="B739" t="s">
        <v>1916</v>
      </c>
      <c r="C739">
        <v>0.73700000000000099</v>
      </c>
      <c r="D739" t="s">
        <v>4204</v>
      </c>
    </row>
    <row r="740" spans="1:4" x14ac:dyDescent="0.25">
      <c r="A740" t="s">
        <v>1017</v>
      </c>
      <c r="B740" t="s">
        <v>1917</v>
      </c>
      <c r="C740">
        <v>0.73800000000000099</v>
      </c>
      <c r="D740" t="s">
        <v>4204</v>
      </c>
    </row>
    <row r="741" spans="1:4" x14ac:dyDescent="0.25">
      <c r="A741" t="s">
        <v>1018</v>
      </c>
      <c r="B741" t="s">
        <v>1918</v>
      </c>
      <c r="C741">
        <v>0.73900000000000099</v>
      </c>
      <c r="D741" t="s">
        <v>4204</v>
      </c>
    </row>
    <row r="742" spans="1:4" x14ac:dyDescent="0.25">
      <c r="A742" t="s">
        <v>1019</v>
      </c>
      <c r="B742" t="s">
        <v>1919</v>
      </c>
      <c r="C742">
        <v>0.74000000000000099</v>
      </c>
      <c r="D742" t="s">
        <v>4204</v>
      </c>
    </row>
    <row r="743" spans="1:4" x14ac:dyDescent="0.25">
      <c r="A743" t="s">
        <v>1020</v>
      </c>
      <c r="B743" t="s">
        <v>1920</v>
      </c>
      <c r="C743">
        <v>0.74100000000000099</v>
      </c>
      <c r="D743" t="s">
        <v>4204</v>
      </c>
    </row>
    <row r="744" spans="1:4" x14ac:dyDescent="0.25">
      <c r="A744" t="s">
        <v>1021</v>
      </c>
      <c r="B744" t="s">
        <v>1921</v>
      </c>
      <c r="C744">
        <v>0.74200000000000099</v>
      </c>
      <c r="D744" t="s">
        <v>4204</v>
      </c>
    </row>
    <row r="745" spans="1:4" x14ac:dyDescent="0.25">
      <c r="A745" t="s">
        <v>1022</v>
      </c>
      <c r="B745" t="s">
        <v>1922</v>
      </c>
      <c r="C745">
        <v>0.74300000000000099</v>
      </c>
      <c r="D745" t="s">
        <v>4204</v>
      </c>
    </row>
    <row r="746" spans="1:4" x14ac:dyDescent="0.25">
      <c r="A746" t="s">
        <v>1023</v>
      </c>
      <c r="B746" t="s">
        <v>1923</v>
      </c>
      <c r="C746">
        <v>0.74400000000000099</v>
      </c>
      <c r="D746" t="s">
        <v>4204</v>
      </c>
    </row>
    <row r="747" spans="1:4" x14ac:dyDescent="0.25">
      <c r="A747" t="s">
        <v>1024</v>
      </c>
      <c r="B747" t="s">
        <v>1924</v>
      </c>
      <c r="C747">
        <v>0.74500000000000099</v>
      </c>
      <c r="D747" t="s">
        <v>4204</v>
      </c>
    </row>
    <row r="748" spans="1:4" x14ac:dyDescent="0.25">
      <c r="A748" t="s">
        <v>1025</v>
      </c>
      <c r="B748" t="s">
        <v>1925</v>
      </c>
      <c r="C748">
        <v>0.746000000000001</v>
      </c>
      <c r="D748" t="s">
        <v>4204</v>
      </c>
    </row>
    <row r="749" spans="1:4" x14ac:dyDescent="0.25">
      <c r="A749" t="s">
        <v>1026</v>
      </c>
      <c r="B749" t="s">
        <v>1926</v>
      </c>
      <c r="C749">
        <v>0.747000000000001</v>
      </c>
      <c r="D749" t="s">
        <v>4204</v>
      </c>
    </row>
    <row r="750" spans="1:4" x14ac:dyDescent="0.25">
      <c r="A750" t="s">
        <v>1027</v>
      </c>
      <c r="B750" t="s">
        <v>1927</v>
      </c>
      <c r="C750">
        <v>0.748000000000001</v>
      </c>
      <c r="D750" t="s">
        <v>4204</v>
      </c>
    </row>
    <row r="751" spans="1:4" x14ac:dyDescent="0.25">
      <c r="A751" t="s">
        <v>1028</v>
      </c>
      <c r="B751" t="s">
        <v>1928</v>
      </c>
      <c r="C751">
        <v>0.749000000000001</v>
      </c>
      <c r="D751" t="s">
        <v>4204</v>
      </c>
    </row>
    <row r="752" spans="1:4" x14ac:dyDescent="0.25">
      <c r="A752" t="s">
        <v>1029</v>
      </c>
      <c r="B752" t="s">
        <v>1929</v>
      </c>
      <c r="C752">
        <v>0.750000000000001</v>
      </c>
      <c r="D752" t="s">
        <v>4204</v>
      </c>
    </row>
    <row r="753" spans="1:4" x14ac:dyDescent="0.25">
      <c r="A753" t="s">
        <v>1030</v>
      </c>
      <c r="B753" t="s">
        <v>1930</v>
      </c>
      <c r="C753">
        <v>0.751000000000001</v>
      </c>
      <c r="D753" t="s">
        <v>4204</v>
      </c>
    </row>
    <row r="754" spans="1:4" x14ac:dyDescent="0.25">
      <c r="A754" t="s">
        <v>1031</v>
      </c>
      <c r="B754" t="s">
        <v>1931</v>
      </c>
      <c r="C754">
        <v>0.752000000000001</v>
      </c>
      <c r="D754" t="s">
        <v>4204</v>
      </c>
    </row>
    <row r="755" spans="1:4" x14ac:dyDescent="0.25">
      <c r="A755" t="s">
        <v>1032</v>
      </c>
      <c r="B755" t="s">
        <v>1932</v>
      </c>
      <c r="C755">
        <v>0.753000000000001</v>
      </c>
      <c r="D755" t="s">
        <v>4204</v>
      </c>
    </row>
    <row r="756" spans="1:4" x14ac:dyDescent="0.25">
      <c r="A756" t="s">
        <v>1033</v>
      </c>
      <c r="B756" t="s">
        <v>1933</v>
      </c>
      <c r="C756">
        <v>0.754000000000001</v>
      </c>
      <c r="D756" t="s">
        <v>4204</v>
      </c>
    </row>
    <row r="757" spans="1:4" x14ac:dyDescent="0.25">
      <c r="A757" t="s">
        <v>1034</v>
      </c>
      <c r="B757" t="s">
        <v>1934</v>
      </c>
      <c r="C757">
        <v>0.755000000000001</v>
      </c>
      <c r="D757" t="s">
        <v>4204</v>
      </c>
    </row>
    <row r="758" spans="1:4" x14ac:dyDescent="0.25">
      <c r="A758" t="s">
        <v>1035</v>
      </c>
      <c r="B758" t="s">
        <v>1935</v>
      </c>
      <c r="C758">
        <v>0.756000000000001</v>
      </c>
      <c r="D758" t="s">
        <v>4204</v>
      </c>
    </row>
    <row r="759" spans="1:4" x14ac:dyDescent="0.25">
      <c r="A759" t="s">
        <v>1036</v>
      </c>
      <c r="B759" t="s">
        <v>1936</v>
      </c>
      <c r="C759">
        <v>0.75700000000000101</v>
      </c>
      <c r="D759" t="s">
        <v>4204</v>
      </c>
    </row>
    <row r="760" spans="1:4" x14ac:dyDescent="0.25">
      <c r="A760" t="s">
        <v>1037</v>
      </c>
      <c r="B760" t="s">
        <v>1937</v>
      </c>
      <c r="C760">
        <v>0.75800000000000101</v>
      </c>
      <c r="D760" t="s">
        <v>4204</v>
      </c>
    </row>
    <row r="761" spans="1:4" x14ac:dyDescent="0.25">
      <c r="A761" t="s">
        <v>1038</v>
      </c>
      <c r="B761" t="s">
        <v>1938</v>
      </c>
      <c r="C761">
        <v>0.75900000000000101</v>
      </c>
      <c r="D761" t="s">
        <v>4204</v>
      </c>
    </row>
    <row r="762" spans="1:4" x14ac:dyDescent="0.25">
      <c r="A762" t="s">
        <v>1039</v>
      </c>
      <c r="B762" t="s">
        <v>1939</v>
      </c>
      <c r="C762">
        <v>0.76000000000000101</v>
      </c>
      <c r="D762" t="s">
        <v>4204</v>
      </c>
    </row>
    <row r="763" spans="1:4" x14ac:dyDescent="0.25">
      <c r="A763" t="s">
        <v>1040</v>
      </c>
      <c r="B763" t="s">
        <v>1940</v>
      </c>
      <c r="C763">
        <v>0.76100000000000101</v>
      </c>
      <c r="D763" t="s">
        <v>4204</v>
      </c>
    </row>
    <row r="764" spans="1:4" x14ac:dyDescent="0.25">
      <c r="A764" t="s">
        <v>1041</v>
      </c>
      <c r="B764" t="s">
        <v>1941</v>
      </c>
      <c r="C764">
        <v>0.76200000000000101</v>
      </c>
      <c r="D764" t="s">
        <v>4204</v>
      </c>
    </row>
    <row r="765" spans="1:4" x14ac:dyDescent="0.25">
      <c r="A765" t="s">
        <v>1042</v>
      </c>
      <c r="B765" t="s">
        <v>1942</v>
      </c>
      <c r="C765">
        <v>0.76300000000000101</v>
      </c>
      <c r="D765" t="s">
        <v>4204</v>
      </c>
    </row>
    <row r="766" spans="1:4" x14ac:dyDescent="0.25">
      <c r="A766" t="s">
        <v>1043</v>
      </c>
      <c r="B766" t="s">
        <v>1943</v>
      </c>
      <c r="C766">
        <v>0.76400000000000101</v>
      </c>
      <c r="D766" t="s">
        <v>4204</v>
      </c>
    </row>
    <row r="767" spans="1:4" x14ac:dyDescent="0.25">
      <c r="A767" t="s">
        <v>1044</v>
      </c>
      <c r="B767" t="s">
        <v>1944</v>
      </c>
      <c r="C767">
        <v>0.76500000000000101</v>
      </c>
      <c r="D767" t="s">
        <v>4204</v>
      </c>
    </row>
    <row r="768" spans="1:4" x14ac:dyDescent="0.25">
      <c r="A768" t="s">
        <v>1045</v>
      </c>
      <c r="B768" t="s">
        <v>1945</v>
      </c>
      <c r="C768">
        <v>0.76600000000000101</v>
      </c>
      <c r="D768" t="s">
        <v>4204</v>
      </c>
    </row>
    <row r="769" spans="1:4" x14ac:dyDescent="0.25">
      <c r="A769" t="s">
        <v>1046</v>
      </c>
      <c r="B769" t="s">
        <v>1946</v>
      </c>
      <c r="C769">
        <v>0.76700000000000101</v>
      </c>
      <c r="D769" t="s">
        <v>4204</v>
      </c>
    </row>
    <row r="770" spans="1:4" x14ac:dyDescent="0.25">
      <c r="A770" t="s">
        <v>1047</v>
      </c>
      <c r="B770" t="s">
        <v>1947</v>
      </c>
      <c r="C770">
        <v>0.76800000000000102</v>
      </c>
      <c r="D770" t="s">
        <v>4204</v>
      </c>
    </row>
    <row r="771" spans="1:4" x14ac:dyDescent="0.25">
      <c r="A771" t="s">
        <v>1048</v>
      </c>
      <c r="B771" t="s">
        <v>1948</v>
      </c>
      <c r="C771">
        <v>0.76900000000000102</v>
      </c>
      <c r="D771" t="s">
        <v>4204</v>
      </c>
    </row>
    <row r="772" spans="1:4" x14ac:dyDescent="0.25">
      <c r="A772" t="s">
        <v>1049</v>
      </c>
      <c r="B772" t="s">
        <v>1949</v>
      </c>
      <c r="C772">
        <v>0.77000000000000102</v>
      </c>
      <c r="D772" t="s">
        <v>4204</v>
      </c>
    </row>
    <row r="773" spans="1:4" x14ac:dyDescent="0.25">
      <c r="A773" t="s">
        <v>1050</v>
      </c>
      <c r="B773" t="s">
        <v>1950</v>
      </c>
      <c r="C773">
        <v>0.77100000000000102</v>
      </c>
      <c r="D773" t="s">
        <v>4204</v>
      </c>
    </row>
    <row r="774" spans="1:4" x14ac:dyDescent="0.25">
      <c r="A774" t="s">
        <v>1051</v>
      </c>
      <c r="B774" t="s">
        <v>1951</v>
      </c>
      <c r="C774">
        <v>0.77200000000000102</v>
      </c>
      <c r="D774" t="s">
        <v>4204</v>
      </c>
    </row>
    <row r="775" spans="1:4" x14ac:dyDescent="0.25">
      <c r="A775" t="s">
        <v>1052</v>
      </c>
      <c r="B775" t="s">
        <v>1952</v>
      </c>
      <c r="C775">
        <v>0.77300000000000102</v>
      </c>
      <c r="D775" t="s">
        <v>4204</v>
      </c>
    </row>
    <row r="776" spans="1:4" x14ac:dyDescent="0.25">
      <c r="A776" t="s">
        <v>1053</v>
      </c>
      <c r="B776" t="s">
        <v>1953</v>
      </c>
      <c r="C776">
        <v>0.77400000000000102</v>
      </c>
      <c r="D776" t="s">
        <v>4204</v>
      </c>
    </row>
    <row r="777" spans="1:4" x14ac:dyDescent="0.25">
      <c r="A777" t="s">
        <v>1054</v>
      </c>
      <c r="B777" t="s">
        <v>1954</v>
      </c>
      <c r="C777">
        <v>0.77500000000000102</v>
      </c>
      <c r="D777" t="s">
        <v>4204</v>
      </c>
    </row>
    <row r="778" spans="1:4" x14ac:dyDescent="0.25">
      <c r="A778" t="s">
        <v>1055</v>
      </c>
      <c r="B778" t="s">
        <v>1955</v>
      </c>
      <c r="C778">
        <v>0.77600000000000102</v>
      </c>
      <c r="D778" t="s">
        <v>4204</v>
      </c>
    </row>
    <row r="779" spans="1:4" x14ac:dyDescent="0.25">
      <c r="A779" t="s">
        <v>1056</v>
      </c>
      <c r="B779" t="s">
        <v>1956</v>
      </c>
      <c r="C779">
        <v>0.77700000000000102</v>
      </c>
      <c r="D779" t="s">
        <v>4204</v>
      </c>
    </row>
    <row r="780" spans="1:4" x14ac:dyDescent="0.25">
      <c r="A780" t="s">
        <v>1057</v>
      </c>
      <c r="B780" t="s">
        <v>1957</v>
      </c>
      <c r="C780">
        <v>0.77800000000000102</v>
      </c>
      <c r="D780" t="s">
        <v>4204</v>
      </c>
    </row>
    <row r="781" spans="1:4" x14ac:dyDescent="0.25">
      <c r="A781" t="s">
        <v>1058</v>
      </c>
      <c r="B781" t="s">
        <v>1958</v>
      </c>
      <c r="C781">
        <v>0.77900000000000102</v>
      </c>
      <c r="D781" t="s">
        <v>4204</v>
      </c>
    </row>
    <row r="782" spans="1:4" x14ac:dyDescent="0.25">
      <c r="A782" t="s">
        <v>1059</v>
      </c>
      <c r="B782" t="s">
        <v>1959</v>
      </c>
      <c r="C782">
        <v>0.78000000000000103</v>
      </c>
      <c r="D782" t="s">
        <v>4204</v>
      </c>
    </row>
    <row r="783" spans="1:4" x14ac:dyDescent="0.25">
      <c r="A783" t="s">
        <v>1060</v>
      </c>
      <c r="B783" t="s">
        <v>1960</v>
      </c>
      <c r="C783">
        <v>0.78100000000000103</v>
      </c>
      <c r="D783" t="s">
        <v>4204</v>
      </c>
    </row>
    <row r="784" spans="1:4" x14ac:dyDescent="0.25">
      <c r="A784" t="s">
        <v>1061</v>
      </c>
      <c r="B784" t="s">
        <v>1961</v>
      </c>
      <c r="C784">
        <v>0.78200000000000103</v>
      </c>
      <c r="D784" t="s">
        <v>4204</v>
      </c>
    </row>
    <row r="785" spans="1:4" x14ac:dyDescent="0.25">
      <c r="A785" t="s">
        <v>1062</v>
      </c>
      <c r="B785" t="s">
        <v>1962</v>
      </c>
      <c r="C785">
        <v>0.78300000000000103</v>
      </c>
      <c r="D785" t="s">
        <v>4204</v>
      </c>
    </row>
    <row r="786" spans="1:4" x14ac:dyDescent="0.25">
      <c r="A786" t="s">
        <v>1063</v>
      </c>
      <c r="B786" t="s">
        <v>1963</v>
      </c>
      <c r="C786">
        <v>0.78400000000000103</v>
      </c>
      <c r="D786" t="s">
        <v>4204</v>
      </c>
    </row>
    <row r="787" spans="1:4" x14ac:dyDescent="0.25">
      <c r="A787" t="s">
        <v>1064</v>
      </c>
      <c r="B787" t="s">
        <v>1964</v>
      </c>
      <c r="C787">
        <v>0.78500000000000103</v>
      </c>
      <c r="D787" t="s">
        <v>4204</v>
      </c>
    </row>
    <row r="788" spans="1:4" x14ac:dyDescent="0.25">
      <c r="A788" t="s">
        <v>1065</v>
      </c>
      <c r="B788" t="s">
        <v>1965</v>
      </c>
      <c r="C788">
        <v>0.78600000000000103</v>
      </c>
      <c r="D788" t="s">
        <v>4204</v>
      </c>
    </row>
    <row r="789" spans="1:4" x14ac:dyDescent="0.25">
      <c r="A789" t="s">
        <v>1066</v>
      </c>
      <c r="B789" t="s">
        <v>1966</v>
      </c>
      <c r="C789">
        <v>0.78700000000000103</v>
      </c>
      <c r="D789" t="s">
        <v>4204</v>
      </c>
    </row>
    <row r="790" spans="1:4" x14ac:dyDescent="0.25">
      <c r="A790" t="s">
        <v>1067</v>
      </c>
      <c r="B790" t="s">
        <v>1967</v>
      </c>
      <c r="C790">
        <v>0.78800000000000103</v>
      </c>
      <c r="D790" t="s">
        <v>4204</v>
      </c>
    </row>
    <row r="791" spans="1:4" x14ac:dyDescent="0.25">
      <c r="A791" t="s">
        <v>1068</v>
      </c>
      <c r="B791" t="s">
        <v>1968</v>
      </c>
      <c r="C791">
        <v>0.78900000000000103</v>
      </c>
      <c r="D791" t="s">
        <v>4204</v>
      </c>
    </row>
    <row r="792" spans="1:4" x14ac:dyDescent="0.25">
      <c r="A792" t="s">
        <v>1069</v>
      </c>
      <c r="B792" t="s">
        <v>1969</v>
      </c>
      <c r="C792">
        <v>0.79000000000000103</v>
      </c>
      <c r="D792" t="s">
        <v>4204</v>
      </c>
    </row>
    <row r="793" spans="1:4" x14ac:dyDescent="0.25">
      <c r="A793" t="s">
        <v>1070</v>
      </c>
      <c r="B793" t="s">
        <v>1970</v>
      </c>
      <c r="C793">
        <v>0.79100000000000104</v>
      </c>
      <c r="D793" t="s">
        <v>4204</v>
      </c>
    </row>
    <row r="794" spans="1:4" x14ac:dyDescent="0.25">
      <c r="A794" t="s">
        <v>1071</v>
      </c>
      <c r="B794" t="s">
        <v>1971</v>
      </c>
      <c r="C794">
        <v>0.79200000000000104</v>
      </c>
      <c r="D794" t="s">
        <v>4204</v>
      </c>
    </row>
    <row r="795" spans="1:4" x14ac:dyDescent="0.25">
      <c r="A795" t="s">
        <v>1072</v>
      </c>
      <c r="B795" t="s">
        <v>1972</v>
      </c>
      <c r="C795">
        <v>0.79300000000000104</v>
      </c>
      <c r="D795" t="s">
        <v>4204</v>
      </c>
    </row>
    <row r="796" spans="1:4" x14ac:dyDescent="0.25">
      <c r="A796" t="s">
        <v>1073</v>
      </c>
      <c r="B796" t="s">
        <v>1973</v>
      </c>
      <c r="C796">
        <v>0.79400000000000104</v>
      </c>
      <c r="D796" t="s">
        <v>4204</v>
      </c>
    </row>
    <row r="797" spans="1:4" x14ac:dyDescent="0.25">
      <c r="A797" t="s">
        <v>1074</v>
      </c>
      <c r="B797" t="s">
        <v>1974</v>
      </c>
      <c r="C797">
        <v>0.79500000000000104</v>
      </c>
      <c r="D797" t="s">
        <v>4204</v>
      </c>
    </row>
    <row r="798" spans="1:4" x14ac:dyDescent="0.25">
      <c r="A798" t="s">
        <v>1075</v>
      </c>
      <c r="B798" t="s">
        <v>1975</v>
      </c>
      <c r="C798">
        <v>0.79600000000000104</v>
      </c>
      <c r="D798" t="s">
        <v>4204</v>
      </c>
    </row>
    <row r="799" spans="1:4" x14ac:dyDescent="0.25">
      <c r="A799" t="s">
        <v>1076</v>
      </c>
      <c r="B799" t="s">
        <v>1976</v>
      </c>
      <c r="C799">
        <v>0.79700000000000104</v>
      </c>
      <c r="D799" t="s">
        <v>4204</v>
      </c>
    </row>
    <row r="800" spans="1:4" x14ac:dyDescent="0.25">
      <c r="A800" t="s">
        <v>1077</v>
      </c>
      <c r="B800" t="s">
        <v>1977</v>
      </c>
      <c r="C800">
        <v>0.79800000000000104</v>
      </c>
      <c r="D800" t="s">
        <v>4204</v>
      </c>
    </row>
    <row r="801" spans="1:4" x14ac:dyDescent="0.25">
      <c r="A801" t="s">
        <v>1078</v>
      </c>
      <c r="B801" t="s">
        <v>1978</v>
      </c>
      <c r="C801">
        <v>0.79900000000000104</v>
      </c>
      <c r="D801" t="s">
        <v>4204</v>
      </c>
    </row>
    <row r="802" spans="1:4" x14ac:dyDescent="0.25">
      <c r="A802" t="s">
        <v>1079</v>
      </c>
      <c r="B802" t="s">
        <v>1979</v>
      </c>
      <c r="C802">
        <v>0.80000000000000104</v>
      </c>
      <c r="D802" t="s">
        <v>4204</v>
      </c>
    </row>
    <row r="803" spans="1:4" x14ac:dyDescent="0.25">
      <c r="A803" t="s">
        <v>1080</v>
      </c>
      <c r="B803" t="s">
        <v>1980</v>
      </c>
      <c r="C803">
        <v>0.80100000000000104</v>
      </c>
      <c r="D803" t="s">
        <v>4204</v>
      </c>
    </row>
    <row r="804" spans="1:4" x14ac:dyDescent="0.25">
      <c r="A804" t="s">
        <v>1081</v>
      </c>
      <c r="B804" t="s">
        <v>1981</v>
      </c>
      <c r="C804">
        <v>0.80200000000000105</v>
      </c>
      <c r="D804" t="s">
        <v>4204</v>
      </c>
    </row>
    <row r="805" spans="1:4" x14ac:dyDescent="0.25">
      <c r="A805" t="s">
        <v>1082</v>
      </c>
      <c r="B805" t="s">
        <v>1982</v>
      </c>
      <c r="C805">
        <v>0.80300000000000105</v>
      </c>
      <c r="D805" t="s">
        <v>4204</v>
      </c>
    </row>
    <row r="806" spans="1:4" x14ac:dyDescent="0.25">
      <c r="A806" t="s">
        <v>1083</v>
      </c>
      <c r="B806" t="s">
        <v>1983</v>
      </c>
      <c r="C806">
        <v>0.80400000000000105</v>
      </c>
      <c r="D806" t="s">
        <v>4204</v>
      </c>
    </row>
    <row r="807" spans="1:4" x14ac:dyDescent="0.25">
      <c r="A807" t="s">
        <v>1084</v>
      </c>
      <c r="B807" t="s">
        <v>1984</v>
      </c>
      <c r="C807">
        <v>0.80500000000000105</v>
      </c>
      <c r="D807" t="s">
        <v>4204</v>
      </c>
    </row>
    <row r="808" spans="1:4" x14ac:dyDescent="0.25">
      <c r="A808" t="s">
        <v>1085</v>
      </c>
      <c r="B808" t="s">
        <v>1985</v>
      </c>
      <c r="C808">
        <v>0.80600000000000105</v>
      </c>
      <c r="D808" t="s">
        <v>4204</v>
      </c>
    </row>
    <row r="809" spans="1:4" x14ac:dyDescent="0.25">
      <c r="A809" t="s">
        <v>1086</v>
      </c>
      <c r="B809" t="s">
        <v>1986</v>
      </c>
      <c r="C809">
        <v>0.80700000000000105</v>
      </c>
      <c r="D809" t="s">
        <v>4204</v>
      </c>
    </row>
    <row r="810" spans="1:4" x14ac:dyDescent="0.25">
      <c r="A810" t="s">
        <v>1087</v>
      </c>
      <c r="B810" t="s">
        <v>1987</v>
      </c>
      <c r="C810">
        <v>0.80800000000000105</v>
      </c>
      <c r="D810" t="s">
        <v>4204</v>
      </c>
    </row>
    <row r="811" spans="1:4" x14ac:dyDescent="0.25">
      <c r="A811" t="s">
        <v>1088</v>
      </c>
      <c r="B811" t="s">
        <v>1988</v>
      </c>
      <c r="C811">
        <v>0.80900000000000105</v>
      </c>
      <c r="D811" t="s">
        <v>4204</v>
      </c>
    </row>
    <row r="812" spans="1:4" x14ac:dyDescent="0.25">
      <c r="A812" t="s">
        <v>1089</v>
      </c>
      <c r="B812" t="s">
        <v>1989</v>
      </c>
      <c r="C812">
        <v>0.81000000000000105</v>
      </c>
      <c r="D812" t="s">
        <v>4204</v>
      </c>
    </row>
    <row r="813" spans="1:4" x14ac:dyDescent="0.25">
      <c r="A813" t="s">
        <v>1090</v>
      </c>
      <c r="B813" t="s">
        <v>1990</v>
      </c>
      <c r="C813">
        <v>0.81100000000000105</v>
      </c>
      <c r="D813" t="s">
        <v>4204</v>
      </c>
    </row>
    <row r="814" spans="1:4" x14ac:dyDescent="0.25">
      <c r="A814" t="s">
        <v>1091</v>
      </c>
      <c r="B814" t="s">
        <v>1991</v>
      </c>
      <c r="C814">
        <v>0.81200000000000105</v>
      </c>
      <c r="D814" t="s">
        <v>4204</v>
      </c>
    </row>
    <row r="815" spans="1:4" x14ac:dyDescent="0.25">
      <c r="A815" t="s">
        <v>1092</v>
      </c>
      <c r="B815" t="s">
        <v>1992</v>
      </c>
      <c r="C815">
        <v>0.81300000000000106</v>
      </c>
      <c r="D815" t="s">
        <v>4204</v>
      </c>
    </row>
    <row r="816" spans="1:4" x14ac:dyDescent="0.25">
      <c r="A816" t="s">
        <v>1093</v>
      </c>
      <c r="B816" t="s">
        <v>1993</v>
      </c>
      <c r="C816">
        <v>0.81400000000000095</v>
      </c>
      <c r="D816" t="s">
        <v>4204</v>
      </c>
    </row>
    <row r="817" spans="1:4" x14ac:dyDescent="0.25">
      <c r="A817" t="s">
        <v>1094</v>
      </c>
      <c r="B817" t="s">
        <v>1994</v>
      </c>
      <c r="C817">
        <v>0.81500000000000095</v>
      </c>
      <c r="D817" t="s">
        <v>4204</v>
      </c>
    </row>
    <row r="818" spans="1:4" x14ac:dyDescent="0.25">
      <c r="A818" t="s">
        <v>1095</v>
      </c>
      <c r="B818" t="s">
        <v>1995</v>
      </c>
      <c r="C818">
        <v>0.81600000000000095</v>
      </c>
      <c r="D818" t="s">
        <v>4204</v>
      </c>
    </row>
    <row r="819" spans="1:4" x14ac:dyDescent="0.25">
      <c r="A819" t="s">
        <v>1096</v>
      </c>
      <c r="B819" t="s">
        <v>1996</v>
      </c>
      <c r="C819">
        <v>0.81700000000000095</v>
      </c>
      <c r="D819" t="s">
        <v>4204</v>
      </c>
    </row>
    <row r="820" spans="1:4" x14ac:dyDescent="0.25">
      <c r="A820" t="s">
        <v>1097</v>
      </c>
      <c r="B820" t="s">
        <v>1997</v>
      </c>
      <c r="C820">
        <v>0.81800000000000095</v>
      </c>
      <c r="D820" t="s">
        <v>4204</v>
      </c>
    </row>
    <row r="821" spans="1:4" x14ac:dyDescent="0.25">
      <c r="A821" t="s">
        <v>1098</v>
      </c>
      <c r="B821" t="s">
        <v>1998</v>
      </c>
      <c r="C821">
        <v>0.81900000000000095</v>
      </c>
      <c r="D821" t="s">
        <v>4204</v>
      </c>
    </row>
    <row r="822" spans="1:4" x14ac:dyDescent="0.25">
      <c r="A822" t="s">
        <v>1099</v>
      </c>
      <c r="B822" t="s">
        <v>1999</v>
      </c>
      <c r="C822">
        <v>0.82000000000000095</v>
      </c>
      <c r="D822" t="s">
        <v>4204</v>
      </c>
    </row>
    <row r="823" spans="1:4" x14ac:dyDescent="0.25">
      <c r="A823" t="s">
        <v>1100</v>
      </c>
      <c r="B823" t="s">
        <v>2000</v>
      </c>
      <c r="C823">
        <v>0.82100000000000095</v>
      </c>
      <c r="D823" t="s">
        <v>4204</v>
      </c>
    </row>
    <row r="824" spans="1:4" x14ac:dyDescent="0.25">
      <c r="A824" t="s">
        <v>1101</v>
      </c>
      <c r="B824" t="s">
        <v>2001</v>
      </c>
      <c r="C824">
        <v>0.82200000000000095</v>
      </c>
      <c r="D824" t="s">
        <v>4204</v>
      </c>
    </row>
    <row r="825" spans="1:4" x14ac:dyDescent="0.25">
      <c r="A825" t="s">
        <v>1102</v>
      </c>
      <c r="B825" t="s">
        <v>2002</v>
      </c>
      <c r="C825">
        <v>0.82300000000000095</v>
      </c>
      <c r="D825" t="s">
        <v>4204</v>
      </c>
    </row>
    <row r="826" spans="1:4" x14ac:dyDescent="0.25">
      <c r="A826" t="s">
        <v>1103</v>
      </c>
      <c r="B826" t="s">
        <v>2003</v>
      </c>
      <c r="C826">
        <v>0.82400000000000095</v>
      </c>
      <c r="D826" t="s">
        <v>4204</v>
      </c>
    </row>
    <row r="827" spans="1:4" x14ac:dyDescent="0.25">
      <c r="A827" t="s">
        <v>1104</v>
      </c>
      <c r="B827" t="s">
        <v>2004</v>
      </c>
      <c r="C827">
        <v>0.82500000000000095</v>
      </c>
      <c r="D827" t="s">
        <v>4204</v>
      </c>
    </row>
    <row r="828" spans="1:4" x14ac:dyDescent="0.25">
      <c r="A828" t="s">
        <v>1105</v>
      </c>
      <c r="B828" t="s">
        <v>2005</v>
      </c>
      <c r="C828">
        <v>0.82600000000000096</v>
      </c>
      <c r="D828" t="s">
        <v>4204</v>
      </c>
    </row>
    <row r="829" spans="1:4" x14ac:dyDescent="0.25">
      <c r="A829" t="s">
        <v>1106</v>
      </c>
      <c r="B829" t="s">
        <v>2006</v>
      </c>
      <c r="C829">
        <v>0.82700000000000096</v>
      </c>
      <c r="D829" t="s">
        <v>4204</v>
      </c>
    </row>
    <row r="830" spans="1:4" x14ac:dyDescent="0.25">
      <c r="A830" t="s">
        <v>1107</v>
      </c>
      <c r="B830" t="s">
        <v>2007</v>
      </c>
      <c r="C830">
        <v>0.82800000000000096</v>
      </c>
      <c r="D830" t="s">
        <v>4204</v>
      </c>
    </row>
    <row r="831" spans="1:4" x14ac:dyDescent="0.25">
      <c r="A831" t="s">
        <v>1108</v>
      </c>
      <c r="B831" t="s">
        <v>2008</v>
      </c>
      <c r="C831">
        <v>0.82900000000000096</v>
      </c>
      <c r="D831" t="s">
        <v>4204</v>
      </c>
    </row>
    <row r="832" spans="1:4" x14ac:dyDescent="0.25">
      <c r="A832" t="s">
        <v>1109</v>
      </c>
      <c r="B832" t="s">
        <v>2009</v>
      </c>
      <c r="C832">
        <v>0.83000000000000096</v>
      </c>
      <c r="D832" t="s">
        <v>4204</v>
      </c>
    </row>
    <row r="833" spans="1:4" x14ac:dyDescent="0.25">
      <c r="A833" t="s">
        <v>1110</v>
      </c>
      <c r="B833" t="s">
        <v>2010</v>
      </c>
      <c r="C833">
        <v>0.83100000000000096</v>
      </c>
      <c r="D833" t="s">
        <v>4204</v>
      </c>
    </row>
    <row r="834" spans="1:4" x14ac:dyDescent="0.25">
      <c r="A834" t="s">
        <v>1111</v>
      </c>
      <c r="B834" t="s">
        <v>2011</v>
      </c>
      <c r="C834">
        <v>0.83200000000000096</v>
      </c>
      <c r="D834" t="s">
        <v>4204</v>
      </c>
    </row>
    <row r="835" spans="1:4" x14ac:dyDescent="0.25">
      <c r="A835" t="s">
        <v>1112</v>
      </c>
      <c r="B835" t="s">
        <v>2012</v>
      </c>
      <c r="C835">
        <v>0.83300000000000096</v>
      </c>
      <c r="D835" t="s">
        <v>4204</v>
      </c>
    </row>
    <row r="836" spans="1:4" x14ac:dyDescent="0.25">
      <c r="A836" t="s">
        <v>1113</v>
      </c>
      <c r="B836" t="s">
        <v>2013</v>
      </c>
      <c r="C836">
        <v>0.83400000000000096</v>
      </c>
      <c r="D836" t="s">
        <v>4204</v>
      </c>
    </row>
    <row r="837" spans="1:4" x14ac:dyDescent="0.25">
      <c r="A837" t="s">
        <v>1114</v>
      </c>
      <c r="B837" t="s">
        <v>2014</v>
      </c>
      <c r="C837">
        <v>0.83500000000000096</v>
      </c>
      <c r="D837" t="s">
        <v>4204</v>
      </c>
    </row>
    <row r="838" spans="1:4" x14ac:dyDescent="0.25">
      <c r="A838" t="s">
        <v>1115</v>
      </c>
      <c r="B838" t="s">
        <v>2015</v>
      </c>
      <c r="C838">
        <v>0.83600000000000096</v>
      </c>
      <c r="D838" t="s">
        <v>4204</v>
      </c>
    </row>
    <row r="839" spans="1:4" x14ac:dyDescent="0.25">
      <c r="A839" t="s">
        <v>1116</v>
      </c>
      <c r="B839" t="s">
        <v>2016</v>
      </c>
      <c r="C839">
        <v>0.83700000000000097</v>
      </c>
      <c r="D839" t="s">
        <v>4204</v>
      </c>
    </row>
    <row r="840" spans="1:4" x14ac:dyDescent="0.25">
      <c r="A840" t="s">
        <v>1117</v>
      </c>
      <c r="B840" t="s">
        <v>2017</v>
      </c>
      <c r="C840">
        <v>0.83800000000000097</v>
      </c>
      <c r="D840" t="s">
        <v>4204</v>
      </c>
    </row>
    <row r="841" spans="1:4" x14ac:dyDescent="0.25">
      <c r="A841" t="s">
        <v>1118</v>
      </c>
      <c r="B841" t="s">
        <v>2018</v>
      </c>
      <c r="C841">
        <v>0.83900000000000097</v>
      </c>
      <c r="D841" t="s">
        <v>4204</v>
      </c>
    </row>
    <row r="842" spans="1:4" x14ac:dyDescent="0.25">
      <c r="A842" t="s">
        <v>1119</v>
      </c>
      <c r="B842" t="s">
        <v>2019</v>
      </c>
      <c r="C842">
        <v>0.84000000000000097</v>
      </c>
      <c r="D842" t="s">
        <v>4204</v>
      </c>
    </row>
    <row r="843" spans="1:4" x14ac:dyDescent="0.25">
      <c r="A843" t="s">
        <v>1120</v>
      </c>
      <c r="B843" t="s">
        <v>2020</v>
      </c>
      <c r="C843">
        <v>0.84100000000000097</v>
      </c>
      <c r="D843" t="s">
        <v>4204</v>
      </c>
    </row>
    <row r="844" spans="1:4" x14ac:dyDescent="0.25">
      <c r="A844" t="s">
        <v>1121</v>
      </c>
      <c r="B844" t="s">
        <v>2021</v>
      </c>
      <c r="C844">
        <v>0.84200000000000097</v>
      </c>
      <c r="D844" t="s">
        <v>4204</v>
      </c>
    </row>
    <row r="845" spans="1:4" x14ac:dyDescent="0.25">
      <c r="A845" t="s">
        <v>1122</v>
      </c>
      <c r="B845" t="s">
        <v>2022</v>
      </c>
      <c r="C845">
        <v>0.84300000000000097</v>
      </c>
      <c r="D845" t="s">
        <v>4204</v>
      </c>
    </row>
    <row r="846" spans="1:4" x14ac:dyDescent="0.25">
      <c r="A846" t="s">
        <v>1123</v>
      </c>
      <c r="B846" t="s">
        <v>2023</v>
      </c>
      <c r="C846">
        <v>0.84400000000000097</v>
      </c>
      <c r="D846" t="s">
        <v>4204</v>
      </c>
    </row>
    <row r="847" spans="1:4" x14ac:dyDescent="0.25">
      <c r="A847" t="s">
        <v>1124</v>
      </c>
      <c r="B847" t="s">
        <v>2024</v>
      </c>
      <c r="C847">
        <v>0.84500000000000097</v>
      </c>
      <c r="D847" t="s">
        <v>4204</v>
      </c>
    </row>
    <row r="848" spans="1:4" x14ac:dyDescent="0.25">
      <c r="A848" t="s">
        <v>1125</v>
      </c>
      <c r="B848" t="s">
        <v>2025</v>
      </c>
      <c r="C848">
        <v>0.84600000000000097</v>
      </c>
      <c r="D848" t="s">
        <v>4204</v>
      </c>
    </row>
    <row r="849" spans="1:4" x14ac:dyDescent="0.25">
      <c r="A849" t="s">
        <v>1126</v>
      </c>
      <c r="B849" t="s">
        <v>2026</v>
      </c>
      <c r="C849">
        <v>0.84700000000000097</v>
      </c>
      <c r="D849" t="s">
        <v>4204</v>
      </c>
    </row>
    <row r="850" spans="1:4" x14ac:dyDescent="0.25">
      <c r="A850" t="s">
        <v>1127</v>
      </c>
      <c r="B850" t="s">
        <v>2027</v>
      </c>
      <c r="C850">
        <v>0.84800000000000098</v>
      </c>
      <c r="D850" t="s">
        <v>4204</v>
      </c>
    </row>
    <row r="851" spans="1:4" x14ac:dyDescent="0.25">
      <c r="A851" t="s">
        <v>1128</v>
      </c>
      <c r="B851" t="s">
        <v>2028</v>
      </c>
      <c r="C851">
        <v>0.84900000000000098</v>
      </c>
      <c r="D851" t="s">
        <v>4204</v>
      </c>
    </row>
    <row r="852" spans="1:4" x14ac:dyDescent="0.25">
      <c r="A852" t="s">
        <v>1129</v>
      </c>
      <c r="B852" t="s">
        <v>2029</v>
      </c>
      <c r="C852">
        <v>0.85000000000000098</v>
      </c>
      <c r="D852" t="s">
        <v>4204</v>
      </c>
    </row>
    <row r="853" spans="1:4" x14ac:dyDescent="0.25">
      <c r="A853" t="s">
        <v>1130</v>
      </c>
      <c r="B853" t="s">
        <v>2030</v>
      </c>
      <c r="C853">
        <v>0.85100000000000098</v>
      </c>
      <c r="D853" t="s">
        <v>4204</v>
      </c>
    </row>
    <row r="854" spans="1:4" x14ac:dyDescent="0.25">
      <c r="A854" t="s">
        <v>1131</v>
      </c>
      <c r="B854" t="s">
        <v>2031</v>
      </c>
      <c r="C854">
        <v>0.85200000000000098</v>
      </c>
      <c r="D854" t="s">
        <v>4204</v>
      </c>
    </row>
    <row r="855" spans="1:4" x14ac:dyDescent="0.25">
      <c r="A855" t="s">
        <v>1132</v>
      </c>
      <c r="B855" t="s">
        <v>2032</v>
      </c>
      <c r="C855">
        <v>0.85300000000000098</v>
      </c>
      <c r="D855" t="s">
        <v>4204</v>
      </c>
    </row>
    <row r="856" spans="1:4" x14ac:dyDescent="0.25">
      <c r="A856" t="s">
        <v>1133</v>
      </c>
      <c r="B856" t="s">
        <v>2033</v>
      </c>
      <c r="C856">
        <v>0.85400000000000098</v>
      </c>
      <c r="D856" t="s">
        <v>4204</v>
      </c>
    </row>
    <row r="857" spans="1:4" x14ac:dyDescent="0.25">
      <c r="A857" t="s">
        <v>1134</v>
      </c>
      <c r="B857" t="s">
        <v>2034</v>
      </c>
      <c r="C857">
        <v>0.85500000000000098</v>
      </c>
      <c r="D857" t="s">
        <v>4204</v>
      </c>
    </row>
    <row r="858" spans="1:4" x14ac:dyDescent="0.25">
      <c r="A858" t="s">
        <v>1135</v>
      </c>
      <c r="B858" t="s">
        <v>2035</v>
      </c>
      <c r="C858">
        <v>0.85600000000000098</v>
      </c>
      <c r="D858" t="s">
        <v>4204</v>
      </c>
    </row>
    <row r="859" spans="1:4" x14ac:dyDescent="0.25">
      <c r="A859" t="s">
        <v>1136</v>
      </c>
      <c r="B859" t="s">
        <v>2036</v>
      </c>
      <c r="C859">
        <v>0.85700000000000098</v>
      </c>
      <c r="D859" t="s">
        <v>4204</v>
      </c>
    </row>
    <row r="860" spans="1:4" x14ac:dyDescent="0.25">
      <c r="A860" t="s">
        <v>1137</v>
      </c>
      <c r="B860" t="s">
        <v>2037</v>
      </c>
      <c r="C860">
        <v>0.85800000000000098</v>
      </c>
      <c r="D860" t="s">
        <v>4204</v>
      </c>
    </row>
    <row r="861" spans="1:4" x14ac:dyDescent="0.25">
      <c r="A861" t="s">
        <v>1138</v>
      </c>
      <c r="B861" t="s">
        <v>2038</v>
      </c>
      <c r="C861">
        <v>0.85900000000000098</v>
      </c>
      <c r="D861" t="s">
        <v>4204</v>
      </c>
    </row>
    <row r="862" spans="1:4" x14ac:dyDescent="0.25">
      <c r="A862" t="s">
        <v>1139</v>
      </c>
      <c r="B862" t="s">
        <v>2039</v>
      </c>
      <c r="C862">
        <v>0.86000000000000099</v>
      </c>
      <c r="D862" t="s">
        <v>4204</v>
      </c>
    </row>
    <row r="863" spans="1:4" x14ac:dyDescent="0.25">
      <c r="A863" t="s">
        <v>1140</v>
      </c>
      <c r="B863" t="s">
        <v>2040</v>
      </c>
      <c r="C863">
        <v>0.86100000000000099</v>
      </c>
      <c r="D863" t="s">
        <v>4204</v>
      </c>
    </row>
    <row r="864" spans="1:4" x14ac:dyDescent="0.25">
      <c r="A864" t="s">
        <v>1141</v>
      </c>
      <c r="B864" t="s">
        <v>2041</v>
      </c>
      <c r="C864">
        <v>0.86200000000000099</v>
      </c>
      <c r="D864" t="s">
        <v>4204</v>
      </c>
    </row>
    <row r="865" spans="1:4" x14ac:dyDescent="0.25">
      <c r="A865" t="s">
        <v>1142</v>
      </c>
      <c r="B865" t="s">
        <v>2042</v>
      </c>
      <c r="C865">
        <v>0.86300000000000099</v>
      </c>
      <c r="D865" t="s">
        <v>4204</v>
      </c>
    </row>
    <row r="866" spans="1:4" x14ac:dyDescent="0.25">
      <c r="A866" t="s">
        <v>1143</v>
      </c>
      <c r="B866" t="s">
        <v>2043</v>
      </c>
      <c r="C866">
        <v>0.86400000000000099</v>
      </c>
      <c r="D866" t="s">
        <v>4204</v>
      </c>
    </row>
    <row r="867" spans="1:4" x14ac:dyDescent="0.25">
      <c r="A867" t="s">
        <v>1144</v>
      </c>
      <c r="B867" t="s">
        <v>2044</v>
      </c>
      <c r="C867">
        <v>0.86500000000000099</v>
      </c>
      <c r="D867" t="s">
        <v>4204</v>
      </c>
    </row>
    <row r="868" spans="1:4" x14ac:dyDescent="0.25">
      <c r="A868" t="s">
        <v>1145</v>
      </c>
      <c r="B868" t="s">
        <v>2045</v>
      </c>
      <c r="C868">
        <v>0.86600000000000099</v>
      </c>
      <c r="D868" t="s">
        <v>4204</v>
      </c>
    </row>
    <row r="869" spans="1:4" x14ac:dyDescent="0.25">
      <c r="A869" t="s">
        <v>1146</v>
      </c>
      <c r="B869" t="s">
        <v>2046</v>
      </c>
      <c r="C869">
        <v>0.86700000000000099</v>
      </c>
      <c r="D869" t="s">
        <v>4204</v>
      </c>
    </row>
    <row r="870" spans="1:4" x14ac:dyDescent="0.25">
      <c r="A870" t="s">
        <v>1147</v>
      </c>
      <c r="B870" t="s">
        <v>2047</v>
      </c>
      <c r="C870">
        <v>0.86800000000000099</v>
      </c>
      <c r="D870" t="s">
        <v>4204</v>
      </c>
    </row>
    <row r="871" spans="1:4" x14ac:dyDescent="0.25">
      <c r="A871" t="s">
        <v>1148</v>
      </c>
      <c r="B871" t="s">
        <v>2048</v>
      </c>
      <c r="C871">
        <v>0.86900000000000099</v>
      </c>
      <c r="D871" t="s">
        <v>4204</v>
      </c>
    </row>
    <row r="872" spans="1:4" x14ac:dyDescent="0.25">
      <c r="A872" t="s">
        <v>1149</v>
      </c>
      <c r="B872" t="s">
        <v>2049</v>
      </c>
      <c r="C872">
        <v>0.87000000000000099</v>
      </c>
      <c r="D872" t="s">
        <v>4204</v>
      </c>
    </row>
    <row r="873" spans="1:4" x14ac:dyDescent="0.25">
      <c r="A873" t="s">
        <v>1150</v>
      </c>
      <c r="B873" t="s">
        <v>2050</v>
      </c>
      <c r="C873">
        <v>0.871000000000001</v>
      </c>
      <c r="D873" t="s">
        <v>4204</v>
      </c>
    </row>
    <row r="874" spans="1:4" x14ac:dyDescent="0.25">
      <c r="A874" t="s">
        <v>1151</v>
      </c>
      <c r="B874" t="s">
        <v>2051</v>
      </c>
      <c r="C874">
        <v>0.872000000000001</v>
      </c>
      <c r="D874" t="s">
        <v>4204</v>
      </c>
    </row>
    <row r="875" spans="1:4" x14ac:dyDescent="0.25">
      <c r="A875" t="s">
        <v>1152</v>
      </c>
      <c r="B875" t="s">
        <v>2052</v>
      </c>
      <c r="C875">
        <v>0.873000000000001</v>
      </c>
      <c r="D875" t="s">
        <v>4204</v>
      </c>
    </row>
    <row r="876" spans="1:4" x14ac:dyDescent="0.25">
      <c r="A876" t="s">
        <v>1153</v>
      </c>
      <c r="B876" t="s">
        <v>2053</v>
      </c>
      <c r="C876">
        <v>0.874000000000001</v>
      </c>
      <c r="D876" t="s">
        <v>4204</v>
      </c>
    </row>
    <row r="877" spans="1:4" x14ac:dyDescent="0.25">
      <c r="A877" t="s">
        <v>1154</v>
      </c>
      <c r="B877" t="s">
        <v>2054</v>
      </c>
      <c r="C877">
        <v>0.875000000000001</v>
      </c>
      <c r="D877" t="s">
        <v>4204</v>
      </c>
    </row>
    <row r="878" spans="1:4" x14ac:dyDescent="0.25">
      <c r="A878" t="s">
        <v>1155</v>
      </c>
      <c r="B878" t="s">
        <v>2055</v>
      </c>
      <c r="C878">
        <v>0.876000000000001</v>
      </c>
      <c r="D878" t="s">
        <v>4204</v>
      </c>
    </row>
    <row r="879" spans="1:4" x14ac:dyDescent="0.25">
      <c r="A879" t="s">
        <v>1156</v>
      </c>
      <c r="B879" t="s">
        <v>2056</v>
      </c>
      <c r="C879">
        <v>0.877000000000001</v>
      </c>
      <c r="D879" t="s">
        <v>4204</v>
      </c>
    </row>
    <row r="880" spans="1:4" x14ac:dyDescent="0.25">
      <c r="A880" t="s">
        <v>1157</v>
      </c>
      <c r="B880" t="s">
        <v>2057</v>
      </c>
      <c r="C880">
        <v>0.878000000000001</v>
      </c>
      <c r="D880" t="s">
        <v>4204</v>
      </c>
    </row>
    <row r="881" spans="1:4" x14ac:dyDescent="0.25">
      <c r="A881" t="s">
        <v>1158</v>
      </c>
      <c r="B881" t="s">
        <v>2058</v>
      </c>
      <c r="C881">
        <v>0.879000000000001</v>
      </c>
      <c r="D881" t="s">
        <v>4204</v>
      </c>
    </row>
    <row r="882" spans="1:4" x14ac:dyDescent="0.25">
      <c r="A882" t="s">
        <v>1159</v>
      </c>
      <c r="B882" t="s">
        <v>2059</v>
      </c>
      <c r="C882">
        <v>0.880000000000001</v>
      </c>
      <c r="D882" t="s">
        <v>4204</v>
      </c>
    </row>
    <row r="883" spans="1:4" x14ac:dyDescent="0.25">
      <c r="A883" t="s">
        <v>1160</v>
      </c>
      <c r="B883" t="s">
        <v>2060</v>
      </c>
      <c r="C883">
        <v>0.881000000000001</v>
      </c>
      <c r="D883" t="s">
        <v>4204</v>
      </c>
    </row>
    <row r="884" spans="1:4" x14ac:dyDescent="0.25">
      <c r="A884" t="s">
        <v>1161</v>
      </c>
      <c r="B884" t="s">
        <v>2061</v>
      </c>
      <c r="C884">
        <v>0.88200000000000101</v>
      </c>
      <c r="D884" t="s">
        <v>4204</v>
      </c>
    </row>
    <row r="885" spans="1:4" x14ac:dyDescent="0.25">
      <c r="A885" t="s">
        <v>1162</v>
      </c>
      <c r="B885" t="s">
        <v>2062</v>
      </c>
      <c r="C885">
        <v>0.88300000000000101</v>
      </c>
      <c r="D885" t="s">
        <v>4204</v>
      </c>
    </row>
    <row r="886" spans="1:4" x14ac:dyDescent="0.25">
      <c r="A886" t="s">
        <v>1163</v>
      </c>
      <c r="B886" t="s">
        <v>2063</v>
      </c>
      <c r="C886">
        <v>0.88400000000000101</v>
      </c>
      <c r="D886" t="s">
        <v>4204</v>
      </c>
    </row>
    <row r="887" spans="1:4" x14ac:dyDescent="0.25">
      <c r="A887" t="s">
        <v>1164</v>
      </c>
      <c r="B887" t="s">
        <v>2064</v>
      </c>
      <c r="C887">
        <v>0.88500000000000101</v>
      </c>
      <c r="D887" t="s">
        <v>4204</v>
      </c>
    </row>
    <row r="888" spans="1:4" x14ac:dyDescent="0.25">
      <c r="A888" t="s">
        <v>1165</v>
      </c>
      <c r="B888" t="s">
        <v>2065</v>
      </c>
      <c r="C888">
        <v>0.88600000000000101</v>
      </c>
      <c r="D888" t="s">
        <v>4204</v>
      </c>
    </row>
    <row r="889" spans="1:4" x14ac:dyDescent="0.25">
      <c r="A889" t="s">
        <v>1166</v>
      </c>
      <c r="B889" t="s">
        <v>2066</v>
      </c>
      <c r="C889">
        <v>0.88700000000000101</v>
      </c>
      <c r="D889" t="s">
        <v>4204</v>
      </c>
    </row>
    <row r="890" spans="1:4" x14ac:dyDescent="0.25">
      <c r="A890" t="s">
        <v>1167</v>
      </c>
      <c r="B890" t="s">
        <v>2067</v>
      </c>
      <c r="C890">
        <v>0.88800000000000101</v>
      </c>
      <c r="D890" t="s">
        <v>4204</v>
      </c>
    </row>
    <row r="891" spans="1:4" x14ac:dyDescent="0.25">
      <c r="A891" t="s">
        <v>1168</v>
      </c>
      <c r="B891" t="s">
        <v>2068</v>
      </c>
      <c r="C891">
        <v>0.88900000000000101</v>
      </c>
      <c r="D891" t="s">
        <v>4204</v>
      </c>
    </row>
    <row r="892" spans="1:4" x14ac:dyDescent="0.25">
      <c r="A892" t="s">
        <v>1169</v>
      </c>
      <c r="B892" t="s">
        <v>2069</v>
      </c>
      <c r="C892">
        <v>0.89000000000000101</v>
      </c>
      <c r="D892" t="s">
        <v>4204</v>
      </c>
    </row>
    <row r="893" spans="1:4" x14ac:dyDescent="0.25">
      <c r="A893" t="s">
        <v>1170</v>
      </c>
      <c r="B893" t="s">
        <v>2070</v>
      </c>
      <c r="C893">
        <v>0.89100000000000101</v>
      </c>
      <c r="D893" t="s">
        <v>4204</v>
      </c>
    </row>
    <row r="894" spans="1:4" x14ac:dyDescent="0.25">
      <c r="A894" t="s">
        <v>1171</v>
      </c>
      <c r="B894" t="s">
        <v>2071</v>
      </c>
      <c r="C894">
        <v>0.89200000000000101</v>
      </c>
      <c r="D894" t="s">
        <v>4204</v>
      </c>
    </row>
    <row r="895" spans="1:4" x14ac:dyDescent="0.25">
      <c r="A895" t="s">
        <v>1172</v>
      </c>
      <c r="B895" t="s">
        <v>2072</v>
      </c>
      <c r="C895">
        <v>0.89300000000000102</v>
      </c>
      <c r="D895" t="s">
        <v>4204</v>
      </c>
    </row>
    <row r="896" spans="1:4" x14ac:dyDescent="0.25">
      <c r="A896" t="s">
        <v>1173</v>
      </c>
      <c r="B896" t="s">
        <v>2073</v>
      </c>
      <c r="C896">
        <v>0.89400000000000102</v>
      </c>
      <c r="D896" t="s">
        <v>4204</v>
      </c>
    </row>
    <row r="897" spans="1:4" x14ac:dyDescent="0.25">
      <c r="A897" t="s">
        <v>1174</v>
      </c>
      <c r="B897" t="s">
        <v>2074</v>
      </c>
      <c r="C897">
        <v>0.89500000000000102</v>
      </c>
      <c r="D897" t="s">
        <v>4204</v>
      </c>
    </row>
    <row r="898" spans="1:4" x14ac:dyDescent="0.25">
      <c r="A898" t="s">
        <v>1175</v>
      </c>
      <c r="B898" t="s">
        <v>2075</v>
      </c>
      <c r="C898">
        <v>0.89600000000000102</v>
      </c>
      <c r="D898" t="s">
        <v>4204</v>
      </c>
    </row>
    <row r="899" spans="1:4" x14ac:dyDescent="0.25">
      <c r="A899" t="s">
        <v>1176</v>
      </c>
      <c r="B899" t="s">
        <v>2076</v>
      </c>
      <c r="C899">
        <v>0.89700000000000102</v>
      </c>
      <c r="D899" t="s">
        <v>4204</v>
      </c>
    </row>
    <row r="900" spans="1:4" x14ac:dyDescent="0.25">
      <c r="A900" t="s">
        <v>1177</v>
      </c>
      <c r="B900" t="s">
        <v>2077</v>
      </c>
      <c r="C900">
        <v>0.89800000000000102</v>
      </c>
      <c r="D900" t="s">
        <v>4204</v>
      </c>
    </row>
    <row r="901" spans="1:4" x14ac:dyDescent="0.25">
      <c r="A901" t="s">
        <v>1178</v>
      </c>
      <c r="B901" t="s">
        <v>2078</v>
      </c>
      <c r="C901">
        <v>0.89900000000000102</v>
      </c>
      <c r="D901" t="s">
        <v>4204</v>
      </c>
    </row>
    <row r="902" spans="1:4" x14ac:dyDescent="0.25">
      <c r="A902" t="s">
        <v>1179</v>
      </c>
      <c r="B902" t="s">
        <v>2079</v>
      </c>
      <c r="C902">
        <v>0.90000000000000102</v>
      </c>
      <c r="D902" t="s">
        <v>4204</v>
      </c>
    </row>
    <row r="903" spans="1:4" x14ac:dyDescent="0.25">
      <c r="A903" t="s">
        <v>1180</v>
      </c>
      <c r="B903" t="s">
        <v>2080</v>
      </c>
      <c r="C903">
        <v>0.90100000000000102</v>
      </c>
      <c r="D903" t="s">
        <v>4204</v>
      </c>
    </row>
    <row r="904" spans="1:4" x14ac:dyDescent="0.25">
      <c r="A904" t="s">
        <v>1181</v>
      </c>
      <c r="B904" t="s">
        <v>2081</v>
      </c>
      <c r="C904">
        <v>0.90200000000000102</v>
      </c>
      <c r="D904" t="s">
        <v>4204</v>
      </c>
    </row>
    <row r="905" spans="1:4" x14ac:dyDescent="0.25">
      <c r="A905" t="s">
        <v>1182</v>
      </c>
      <c r="B905" t="s">
        <v>2082</v>
      </c>
      <c r="C905">
        <v>0.90300000000000102</v>
      </c>
      <c r="D905" t="s">
        <v>4204</v>
      </c>
    </row>
    <row r="906" spans="1:4" x14ac:dyDescent="0.25">
      <c r="A906" t="s">
        <v>1183</v>
      </c>
      <c r="B906" t="s">
        <v>2083</v>
      </c>
      <c r="C906">
        <v>0.90400000000000102</v>
      </c>
      <c r="D906" t="s">
        <v>4204</v>
      </c>
    </row>
    <row r="907" spans="1:4" x14ac:dyDescent="0.25">
      <c r="A907" t="s">
        <v>1184</v>
      </c>
      <c r="B907" t="s">
        <v>2084</v>
      </c>
      <c r="C907">
        <v>0.90500000000000103</v>
      </c>
      <c r="D907" t="s">
        <v>4204</v>
      </c>
    </row>
    <row r="908" spans="1:4" x14ac:dyDescent="0.25">
      <c r="A908" t="s">
        <v>1185</v>
      </c>
      <c r="B908" t="s">
        <v>2085</v>
      </c>
      <c r="C908">
        <v>0.90600000000000103</v>
      </c>
      <c r="D908" t="s">
        <v>4204</v>
      </c>
    </row>
    <row r="909" spans="1:4" x14ac:dyDescent="0.25">
      <c r="A909" t="s">
        <v>1186</v>
      </c>
      <c r="B909" t="s">
        <v>2086</v>
      </c>
      <c r="C909">
        <v>0.90700000000000103</v>
      </c>
      <c r="D909" t="s">
        <v>4204</v>
      </c>
    </row>
    <row r="910" spans="1:4" x14ac:dyDescent="0.25">
      <c r="A910" t="s">
        <v>1187</v>
      </c>
      <c r="B910" t="s">
        <v>2087</v>
      </c>
      <c r="C910">
        <v>0.90800000000000103</v>
      </c>
      <c r="D910" t="s">
        <v>4204</v>
      </c>
    </row>
    <row r="911" spans="1:4" x14ac:dyDescent="0.25">
      <c r="A911" t="s">
        <v>1188</v>
      </c>
      <c r="B911" t="s">
        <v>2088</v>
      </c>
      <c r="C911">
        <v>0.90900000000000103</v>
      </c>
      <c r="D911" t="s">
        <v>4204</v>
      </c>
    </row>
    <row r="912" spans="1:4" x14ac:dyDescent="0.25">
      <c r="A912" t="s">
        <v>1189</v>
      </c>
      <c r="B912" t="s">
        <v>2089</v>
      </c>
      <c r="C912">
        <v>0.91000000000000103</v>
      </c>
      <c r="D912" t="s">
        <v>4204</v>
      </c>
    </row>
    <row r="913" spans="1:4" x14ac:dyDescent="0.25">
      <c r="A913" t="s">
        <v>1190</v>
      </c>
      <c r="B913" t="s">
        <v>2090</v>
      </c>
      <c r="C913">
        <v>0.91100000000000103</v>
      </c>
      <c r="D913" t="s">
        <v>4204</v>
      </c>
    </row>
    <row r="914" spans="1:4" x14ac:dyDescent="0.25">
      <c r="A914" t="s">
        <v>1191</v>
      </c>
      <c r="B914" t="s">
        <v>2091</v>
      </c>
      <c r="C914">
        <v>0.91200000000000103</v>
      </c>
      <c r="D914" t="s">
        <v>4204</v>
      </c>
    </row>
    <row r="915" spans="1:4" x14ac:dyDescent="0.25">
      <c r="A915" t="s">
        <v>1192</v>
      </c>
      <c r="B915" t="s">
        <v>2092</v>
      </c>
      <c r="C915">
        <v>0.91300000000000103</v>
      </c>
      <c r="D915" t="s">
        <v>4204</v>
      </c>
    </row>
    <row r="916" spans="1:4" x14ac:dyDescent="0.25">
      <c r="A916" t="s">
        <v>1193</v>
      </c>
      <c r="B916" t="s">
        <v>2093</v>
      </c>
      <c r="C916">
        <v>0.91400000000000103</v>
      </c>
      <c r="D916" t="s">
        <v>4204</v>
      </c>
    </row>
    <row r="917" spans="1:4" x14ac:dyDescent="0.25">
      <c r="A917" t="s">
        <v>1194</v>
      </c>
      <c r="B917" t="s">
        <v>2094</v>
      </c>
      <c r="C917">
        <v>0.91500000000000103</v>
      </c>
      <c r="D917" t="s">
        <v>4204</v>
      </c>
    </row>
    <row r="918" spans="1:4" x14ac:dyDescent="0.25">
      <c r="A918" t="s">
        <v>1195</v>
      </c>
      <c r="B918" t="s">
        <v>2095</v>
      </c>
      <c r="C918">
        <v>0.91600000000000104</v>
      </c>
      <c r="D918" t="s">
        <v>4204</v>
      </c>
    </row>
    <row r="919" spans="1:4" x14ac:dyDescent="0.25">
      <c r="A919" t="s">
        <v>1196</v>
      </c>
      <c r="B919" t="s">
        <v>2096</v>
      </c>
      <c r="C919">
        <v>0.91700000000000104</v>
      </c>
      <c r="D919" t="s">
        <v>4204</v>
      </c>
    </row>
    <row r="920" spans="1:4" x14ac:dyDescent="0.25">
      <c r="A920" t="s">
        <v>1197</v>
      </c>
      <c r="B920" t="s">
        <v>2097</v>
      </c>
      <c r="C920">
        <v>0.91800000000000104</v>
      </c>
      <c r="D920" t="s">
        <v>4204</v>
      </c>
    </row>
    <row r="921" spans="1:4" x14ac:dyDescent="0.25">
      <c r="A921" t="s">
        <v>1198</v>
      </c>
      <c r="B921" t="s">
        <v>2098</v>
      </c>
      <c r="C921">
        <v>0.91900000000000104</v>
      </c>
      <c r="D921" t="s">
        <v>4204</v>
      </c>
    </row>
    <row r="922" spans="1:4" x14ac:dyDescent="0.25">
      <c r="A922" t="s">
        <v>1199</v>
      </c>
      <c r="B922" t="s">
        <v>2099</v>
      </c>
      <c r="C922">
        <v>0.92000000000000104</v>
      </c>
      <c r="D922" t="s">
        <v>4204</v>
      </c>
    </row>
    <row r="923" spans="1:4" x14ac:dyDescent="0.25">
      <c r="A923" t="s">
        <v>1200</v>
      </c>
      <c r="B923" t="s">
        <v>2100</v>
      </c>
      <c r="C923">
        <v>0.92100000000000104</v>
      </c>
      <c r="D923" t="s">
        <v>4204</v>
      </c>
    </row>
    <row r="924" spans="1:4" x14ac:dyDescent="0.25">
      <c r="A924" t="s">
        <v>1201</v>
      </c>
      <c r="B924" t="s">
        <v>2101</v>
      </c>
      <c r="C924">
        <v>0.92200000000000104</v>
      </c>
      <c r="D924" t="s">
        <v>4204</v>
      </c>
    </row>
    <row r="925" spans="1:4" x14ac:dyDescent="0.25">
      <c r="A925" t="s">
        <v>1202</v>
      </c>
      <c r="B925" t="s">
        <v>2102</v>
      </c>
      <c r="C925">
        <v>0.92300000000000104</v>
      </c>
      <c r="D925" t="s">
        <v>4204</v>
      </c>
    </row>
    <row r="926" spans="1:4" x14ac:dyDescent="0.25">
      <c r="A926" t="s">
        <v>1203</v>
      </c>
      <c r="B926" t="s">
        <v>2103</v>
      </c>
      <c r="C926">
        <v>0.92400000000000104</v>
      </c>
      <c r="D926" t="s">
        <v>4204</v>
      </c>
    </row>
    <row r="927" spans="1:4" x14ac:dyDescent="0.25">
      <c r="A927" t="s">
        <v>1204</v>
      </c>
      <c r="B927" t="s">
        <v>2104</v>
      </c>
      <c r="C927">
        <v>0.92500000000000104</v>
      </c>
      <c r="D927" t="s">
        <v>4204</v>
      </c>
    </row>
    <row r="928" spans="1:4" x14ac:dyDescent="0.25">
      <c r="A928" t="s">
        <v>1205</v>
      </c>
      <c r="B928" t="s">
        <v>2105</v>
      </c>
      <c r="C928">
        <v>0.92600000000000104</v>
      </c>
      <c r="D928" t="s">
        <v>4204</v>
      </c>
    </row>
    <row r="929" spans="1:4" x14ac:dyDescent="0.25">
      <c r="A929" t="s">
        <v>1206</v>
      </c>
      <c r="B929" t="s">
        <v>2106</v>
      </c>
      <c r="C929">
        <v>0.92700000000000105</v>
      </c>
      <c r="D929" t="s">
        <v>4204</v>
      </c>
    </row>
    <row r="930" spans="1:4" x14ac:dyDescent="0.25">
      <c r="A930" t="s">
        <v>1207</v>
      </c>
      <c r="B930" t="s">
        <v>2107</v>
      </c>
      <c r="C930">
        <v>0.92800000000000105</v>
      </c>
      <c r="D930" t="s">
        <v>4204</v>
      </c>
    </row>
    <row r="931" spans="1:4" x14ac:dyDescent="0.25">
      <c r="A931" t="s">
        <v>1208</v>
      </c>
      <c r="B931" t="s">
        <v>2108</v>
      </c>
      <c r="C931">
        <v>0.92900000000000105</v>
      </c>
      <c r="D931" t="s">
        <v>4204</v>
      </c>
    </row>
    <row r="932" spans="1:4" x14ac:dyDescent="0.25">
      <c r="A932" t="s">
        <v>1209</v>
      </c>
      <c r="B932" t="s">
        <v>2109</v>
      </c>
      <c r="C932">
        <v>0.93000000000000105</v>
      </c>
      <c r="D932" t="s">
        <v>4204</v>
      </c>
    </row>
    <row r="933" spans="1:4" x14ac:dyDescent="0.25">
      <c r="A933" t="s">
        <v>1210</v>
      </c>
      <c r="B933" t="s">
        <v>2110</v>
      </c>
      <c r="C933">
        <v>0.93100000000000105</v>
      </c>
      <c r="D933" t="s">
        <v>4204</v>
      </c>
    </row>
    <row r="934" spans="1:4" x14ac:dyDescent="0.25">
      <c r="A934" t="s">
        <v>1211</v>
      </c>
      <c r="B934" t="s">
        <v>2111</v>
      </c>
      <c r="C934">
        <v>0.93200000000000105</v>
      </c>
      <c r="D934" t="s">
        <v>4204</v>
      </c>
    </row>
    <row r="935" spans="1:4" x14ac:dyDescent="0.25">
      <c r="A935" t="s">
        <v>1212</v>
      </c>
      <c r="B935" t="s">
        <v>2112</v>
      </c>
      <c r="C935">
        <v>0.93300000000000105</v>
      </c>
      <c r="D935" t="s">
        <v>4204</v>
      </c>
    </row>
    <row r="936" spans="1:4" x14ac:dyDescent="0.25">
      <c r="A936" t="s">
        <v>1213</v>
      </c>
      <c r="B936" t="s">
        <v>2113</v>
      </c>
      <c r="C936">
        <v>0.93400000000000105</v>
      </c>
      <c r="D936" t="s">
        <v>4204</v>
      </c>
    </row>
    <row r="937" spans="1:4" x14ac:dyDescent="0.25">
      <c r="A937" t="s">
        <v>1214</v>
      </c>
      <c r="B937" t="s">
        <v>2114</v>
      </c>
      <c r="C937">
        <v>0.93500000000000105</v>
      </c>
      <c r="D937" t="s">
        <v>4204</v>
      </c>
    </row>
    <row r="938" spans="1:4" x14ac:dyDescent="0.25">
      <c r="A938" t="s">
        <v>1215</v>
      </c>
      <c r="B938" t="s">
        <v>2115</v>
      </c>
      <c r="C938">
        <v>0.93600000000000105</v>
      </c>
      <c r="D938" t="s">
        <v>4204</v>
      </c>
    </row>
    <row r="939" spans="1:4" x14ac:dyDescent="0.25">
      <c r="A939" t="s">
        <v>1216</v>
      </c>
      <c r="B939" t="s">
        <v>2116</v>
      </c>
      <c r="C939">
        <v>0.93700000000000105</v>
      </c>
      <c r="D939" t="s">
        <v>4204</v>
      </c>
    </row>
    <row r="940" spans="1:4" x14ac:dyDescent="0.25">
      <c r="A940" t="s">
        <v>1217</v>
      </c>
      <c r="B940" t="s">
        <v>2117</v>
      </c>
      <c r="C940">
        <v>0.93800000000000106</v>
      </c>
      <c r="D940" t="s">
        <v>4204</v>
      </c>
    </row>
    <row r="941" spans="1:4" x14ac:dyDescent="0.25">
      <c r="A941" t="s">
        <v>1218</v>
      </c>
      <c r="B941" t="s">
        <v>2118</v>
      </c>
      <c r="C941">
        <v>0.93900000000000095</v>
      </c>
      <c r="D941" t="s">
        <v>4204</v>
      </c>
    </row>
    <row r="942" spans="1:4" x14ac:dyDescent="0.25">
      <c r="A942" t="s">
        <v>1219</v>
      </c>
      <c r="B942" t="s">
        <v>2119</v>
      </c>
      <c r="C942">
        <v>0.94000000000000095</v>
      </c>
      <c r="D942" t="s">
        <v>4204</v>
      </c>
    </row>
    <row r="943" spans="1:4" x14ac:dyDescent="0.25">
      <c r="A943" t="s">
        <v>1220</v>
      </c>
      <c r="B943" t="s">
        <v>2120</v>
      </c>
      <c r="C943">
        <v>0.94100000000000095</v>
      </c>
      <c r="D943" t="s">
        <v>4204</v>
      </c>
    </row>
    <row r="944" spans="1:4" x14ac:dyDescent="0.25">
      <c r="A944" t="s">
        <v>1221</v>
      </c>
      <c r="B944" t="s">
        <v>2121</v>
      </c>
      <c r="C944">
        <v>0.94200000000000095</v>
      </c>
      <c r="D944" t="s">
        <v>4204</v>
      </c>
    </row>
    <row r="945" spans="1:4" x14ac:dyDescent="0.25">
      <c r="A945" t="s">
        <v>1222</v>
      </c>
      <c r="B945" t="s">
        <v>2122</v>
      </c>
      <c r="C945">
        <v>0.94300000000000095</v>
      </c>
      <c r="D945" t="s">
        <v>4204</v>
      </c>
    </row>
    <row r="946" spans="1:4" x14ac:dyDescent="0.25">
      <c r="A946" t="s">
        <v>1223</v>
      </c>
      <c r="B946" t="s">
        <v>2123</v>
      </c>
      <c r="C946">
        <v>0.94400000000000095</v>
      </c>
      <c r="D946" t="s">
        <v>4204</v>
      </c>
    </row>
    <row r="947" spans="1:4" x14ac:dyDescent="0.25">
      <c r="A947" t="s">
        <v>1224</v>
      </c>
      <c r="B947" t="s">
        <v>2124</v>
      </c>
      <c r="C947">
        <v>0.94500000000000095</v>
      </c>
      <c r="D947" t="s">
        <v>4204</v>
      </c>
    </row>
    <row r="948" spans="1:4" x14ac:dyDescent="0.25">
      <c r="A948" t="s">
        <v>1225</v>
      </c>
      <c r="B948" t="s">
        <v>2125</v>
      </c>
      <c r="C948">
        <v>0.94600000000000095</v>
      </c>
      <c r="D948" t="s">
        <v>4204</v>
      </c>
    </row>
    <row r="949" spans="1:4" x14ac:dyDescent="0.25">
      <c r="A949" t="s">
        <v>1226</v>
      </c>
      <c r="B949" t="s">
        <v>2126</v>
      </c>
      <c r="C949">
        <v>0.94700000000000095</v>
      </c>
      <c r="D949" t="s">
        <v>4204</v>
      </c>
    </row>
    <row r="950" spans="1:4" x14ac:dyDescent="0.25">
      <c r="A950" t="s">
        <v>1227</v>
      </c>
      <c r="B950" t="s">
        <v>2127</v>
      </c>
      <c r="C950">
        <v>0.94800000000000095</v>
      </c>
      <c r="D950" t="s">
        <v>4204</v>
      </c>
    </row>
    <row r="951" spans="1:4" x14ac:dyDescent="0.25">
      <c r="A951" t="s">
        <v>1228</v>
      </c>
      <c r="B951" t="s">
        <v>2128</v>
      </c>
      <c r="C951">
        <v>0.94900000000000095</v>
      </c>
      <c r="D951" t="s">
        <v>4204</v>
      </c>
    </row>
    <row r="952" spans="1:4" x14ac:dyDescent="0.25">
      <c r="A952" t="s">
        <v>1229</v>
      </c>
      <c r="B952" t="s">
        <v>2129</v>
      </c>
      <c r="C952">
        <v>0.95000000000000095</v>
      </c>
      <c r="D952" t="s">
        <v>4204</v>
      </c>
    </row>
    <row r="953" spans="1:4" x14ac:dyDescent="0.25">
      <c r="A953" t="s">
        <v>1230</v>
      </c>
      <c r="B953" t="s">
        <v>2130</v>
      </c>
      <c r="C953">
        <v>0.95100000000000096</v>
      </c>
      <c r="D953" t="s">
        <v>4204</v>
      </c>
    </row>
    <row r="954" spans="1:4" x14ac:dyDescent="0.25">
      <c r="A954" t="s">
        <v>1231</v>
      </c>
      <c r="B954" t="s">
        <v>2131</v>
      </c>
      <c r="C954">
        <v>0.95200000000000096</v>
      </c>
      <c r="D954" t="s">
        <v>4204</v>
      </c>
    </row>
    <row r="955" spans="1:4" x14ac:dyDescent="0.25">
      <c r="A955" t="s">
        <v>1232</v>
      </c>
      <c r="B955" t="s">
        <v>2132</v>
      </c>
      <c r="C955">
        <v>0.95300000000000096</v>
      </c>
      <c r="D955" t="s">
        <v>4204</v>
      </c>
    </row>
    <row r="956" spans="1:4" x14ac:dyDescent="0.25">
      <c r="A956" t="s">
        <v>1233</v>
      </c>
      <c r="B956" t="s">
        <v>2133</v>
      </c>
      <c r="C956">
        <v>0.95400000000000096</v>
      </c>
      <c r="D956" t="s">
        <v>4204</v>
      </c>
    </row>
    <row r="957" spans="1:4" x14ac:dyDescent="0.25">
      <c r="A957" t="s">
        <v>1234</v>
      </c>
      <c r="B957" t="s">
        <v>2134</v>
      </c>
      <c r="C957">
        <v>0.95500000000000096</v>
      </c>
      <c r="D957" t="s">
        <v>4204</v>
      </c>
    </row>
    <row r="958" spans="1:4" x14ac:dyDescent="0.25">
      <c r="A958" t="s">
        <v>1235</v>
      </c>
      <c r="B958" t="s">
        <v>2135</v>
      </c>
      <c r="C958">
        <v>0.95600000000000096</v>
      </c>
      <c r="D958" t="s">
        <v>4204</v>
      </c>
    </row>
    <row r="959" spans="1:4" x14ac:dyDescent="0.25">
      <c r="A959" t="s">
        <v>1236</v>
      </c>
      <c r="B959" t="s">
        <v>2136</v>
      </c>
      <c r="C959">
        <v>0.95700000000000096</v>
      </c>
      <c r="D959" t="s">
        <v>4204</v>
      </c>
    </row>
    <row r="960" spans="1:4" x14ac:dyDescent="0.25">
      <c r="A960" t="s">
        <v>1237</v>
      </c>
      <c r="B960" t="s">
        <v>2137</v>
      </c>
      <c r="C960">
        <v>0.95800000000000096</v>
      </c>
      <c r="D960" t="s">
        <v>4204</v>
      </c>
    </row>
    <row r="961" spans="1:4" x14ac:dyDescent="0.25">
      <c r="A961" t="s">
        <v>1238</v>
      </c>
      <c r="B961" t="s">
        <v>2138</v>
      </c>
      <c r="C961">
        <v>0.95900000000000096</v>
      </c>
      <c r="D961" t="s">
        <v>4204</v>
      </c>
    </row>
    <row r="962" spans="1:4" x14ac:dyDescent="0.25">
      <c r="A962" t="s">
        <v>1239</v>
      </c>
      <c r="B962" t="s">
        <v>2139</v>
      </c>
      <c r="C962">
        <v>0.96000000000000096</v>
      </c>
      <c r="D962" t="s">
        <v>4204</v>
      </c>
    </row>
    <row r="963" spans="1:4" x14ac:dyDescent="0.25">
      <c r="A963" t="s">
        <v>1240</v>
      </c>
      <c r="B963" t="s">
        <v>2140</v>
      </c>
      <c r="C963">
        <v>0.96100000000000096</v>
      </c>
      <c r="D963" t="s">
        <v>4204</v>
      </c>
    </row>
    <row r="964" spans="1:4" x14ac:dyDescent="0.25">
      <c r="A964" t="s">
        <v>1241</v>
      </c>
      <c r="B964" t="s">
        <v>2141</v>
      </c>
      <c r="C964">
        <v>0.96200000000000097</v>
      </c>
      <c r="D964" t="s">
        <v>4204</v>
      </c>
    </row>
    <row r="965" spans="1:4" x14ac:dyDescent="0.25">
      <c r="A965" t="s">
        <v>1242</v>
      </c>
      <c r="B965" t="s">
        <v>2142</v>
      </c>
      <c r="C965">
        <v>0.96300000000000097</v>
      </c>
      <c r="D965" t="s">
        <v>4204</v>
      </c>
    </row>
    <row r="966" spans="1:4" x14ac:dyDescent="0.25">
      <c r="A966" t="s">
        <v>1243</v>
      </c>
      <c r="B966" t="s">
        <v>2143</v>
      </c>
      <c r="C966">
        <v>0.96400000000000097</v>
      </c>
      <c r="D966" t="s">
        <v>4204</v>
      </c>
    </row>
    <row r="967" spans="1:4" x14ac:dyDescent="0.25">
      <c r="A967" t="s">
        <v>1244</v>
      </c>
      <c r="B967" t="s">
        <v>2144</v>
      </c>
      <c r="C967">
        <v>0.96500000000000097</v>
      </c>
      <c r="D967" t="s">
        <v>4204</v>
      </c>
    </row>
    <row r="968" spans="1:4" x14ac:dyDescent="0.25">
      <c r="A968" t="s">
        <v>1245</v>
      </c>
      <c r="B968" t="s">
        <v>2145</v>
      </c>
      <c r="C968">
        <v>0.96600000000000097</v>
      </c>
      <c r="D968" t="s">
        <v>4204</v>
      </c>
    </row>
    <row r="969" spans="1:4" x14ac:dyDescent="0.25">
      <c r="A969" t="s">
        <v>1246</v>
      </c>
      <c r="B969" t="s">
        <v>2146</v>
      </c>
      <c r="C969">
        <v>0.96700000000000097</v>
      </c>
      <c r="D969" t="s">
        <v>4204</v>
      </c>
    </row>
    <row r="970" spans="1:4" x14ac:dyDescent="0.25">
      <c r="A970" t="s">
        <v>1247</v>
      </c>
      <c r="B970" t="s">
        <v>2147</v>
      </c>
      <c r="C970">
        <v>0.96800000000000097</v>
      </c>
      <c r="D970" t="s">
        <v>4204</v>
      </c>
    </row>
    <row r="971" spans="1:4" x14ac:dyDescent="0.25">
      <c r="A971" t="s">
        <v>1248</v>
      </c>
      <c r="B971" t="s">
        <v>2148</v>
      </c>
      <c r="C971">
        <v>0.96900000000000097</v>
      </c>
      <c r="D971" t="s">
        <v>4204</v>
      </c>
    </row>
    <row r="972" spans="1:4" x14ac:dyDescent="0.25">
      <c r="A972" t="s">
        <v>1249</v>
      </c>
      <c r="B972" t="s">
        <v>2149</v>
      </c>
      <c r="C972">
        <v>0.97000000000000097</v>
      </c>
      <c r="D972" t="s">
        <v>4204</v>
      </c>
    </row>
    <row r="973" spans="1:4" x14ac:dyDescent="0.25">
      <c r="A973" t="s">
        <v>1250</v>
      </c>
      <c r="B973" t="s">
        <v>2150</v>
      </c>
      <c r="C973">
        <v>0.97100000000000097</v>
      </c>
      <c r="D973" t="s">
        <v>4204</v>
      </c>
    </row>
    <row r="974" spans="1:4" x14ac:dyDescent="0.25">
      <c r="A974" t="s">
        <v>1251</v>
      </c>
      <c r="B974" t="s">
        <v>2151</v>
      </c>
      <c r="C974">
        <v>0.97200000000000097</v>
      </c>
      <c r="D974" t="s">
        <v>4204</v>
      </c>
    </row>
    <row r="975" spans="1:4" x14ac:dyDescent="0.25">
      <c r="A975" t="s">
        <v>1252</v>
      </c>
      <c r="B975" t="s">
        <v>2152</v>
      </c>
      <c r="C975">
        <v>0.97300000000000098</v>
      </c>
      <c r="D975" t="s">
        <v>4204</v>
      </c>
    </row>
    <row r="976" spans="1:4" x14ac:dyDescent="0.25">
      <c r="A976" t="s">
        <v>1253</v>
      </c>
      <c r="B976" t="s">
        <v>2153</v>
      </c>
      <c r="C976">
        <v>0.97400000000000098</v>
      </c>
      <c r="D976" t="s">
        <v>4204</v>
      </c>
    </row>
    <row r="977" spans="1:4" x14ac:dyDescent="0.25">
      <c r="A977" t="s">
        <v>1254</v>
      </c>
      <c r="B977" t="s">
        <v>2154</v>
      </c>
      <c r="C977">
        <v>0.97500000000000098</v>
      </c>
      <c r="D977" t="s">
        <v>4204</v>
      </c>
    </row>
    <row r="978" spans="1:4" x14ac:dyDescent="0.25">
      <c r="A978" t="s">
        <v>1255</v>
      </c>
      <c r="B978" t="s">
        <v>2155</v>
      </c>
      <c r="C978">
        <v>0.97600000000000098</v>
      </c>
      <c r="D978" t="s">
        <v>4204</v>
      </c>
    </row>
    <row r="979" spans="1:4" x14ac:dyDescent="0.25">
      <c r="A979" t="s">
        <v>1256</v>
      </c>
      <c r="B979" t="s">
        <v>2156</v>
      </c>
      <c r="C979">
        <v>0.97700000000000098</v>
      </c>
      <c r="D979" t="s">
        <v>4204</v>
      </c>
    </row>
    <row r="980" spans="1:4" x14ac:dyDescent="0.25">
      <c r="A980" t="s">
        <v>1257</v>
      </c>
      <c r="B980" t="s">
        <v>2157</v>
      </c>
      <c r="C980">
        <v>0.97800000000000098</v>
      </c>
      <c r="D980" t="s">
        <v>4204</v>
      </c>
    </row>
    <row r="981" spans="1:4" x14ac:dyDescent="0.25">
      <c r="A981" t="s">
        <v>1258</v>
      </c>
      <c r="B981" t="s">
        <v>2158</v>
      </c>
      <c r="C981">
        <v>0.97900000000000098</v>
      </c>
      <c r="D981" t="s">
        <v>4204</v>
      </c>
    </row>
    <row r="982" spans="1:4" x14ac:dyDescent="0.25">
      <c r="A982" t="s">
        <v>1259</v>
      </c>
      <c r="B982" t="s">
        <v>2159</v>
      </c>
      <c r="C982">
        <v>0.98000000000000098</v>
      </c>
      <c r="D982" t="s">
        <v>4204</v>
      </c>
    </row>
    <row r="983" spans="1:4" x14ac:dyDescent="0.25">
      <c r="A983" t="s">
        <v>1260</v>
      </c>
      <c r="B983" t="s">
        <v>2160</v>
      </c>
      <c r="C983">
        <v>0.98100000000000098</v>
      </c>
      <c r="D983" t="s">
        <v>4204</v>
      </c>
    </row>
    <row r="984" spans="1:4" x14ac:dyDescent="0.25">
      <c r="A984" t="s">
        <v>1261</v>
      </c>
      <c r="B984" t="s">
        <v>2161</v>
      </c>
      <c r="C984">
        <v>0.98200000000000098</v>
      </c>
      <c r="D984" t="s">
        <v>4204</v>
      </c>
    </row>
    <row r="985" spans="1:4" x14ac:dyDescent="0.25">
      <c r="A985" t="s">
        <v>1262</v>
      </c>
      <c r="B985" t="s">
        <v>2162</v>
      </c>
      <c r="C985">
        <v>0.98300000000000098</v>
      </c>
      <c r="D985" t="s">
        <v>4204</v>
      </c>
    </row>
    <row r="986" spans="1:4" x14ac:dyDescent="0.25">
      <c r="A986" t="s">
        <v>1263</v>
      </c>
      <c r="B986" t="s">
        <v>2163</v>
      </c>
      <c r="C986">
        <v>0.98400000000000098</v>
      </c>
      <c r="D986" t="s">
        <v>4204</v>
      </c>
    </row>
    <row r="987" spans="1:4" x14ac:dyDescent="0.25">
      <c r="A987" t="s">
        <v>1264</v>
      </c>
      <c r="B987" t="s">
        <v>2164</v>
      </c>
      <c r="C987">
        <v>0.98500000000000099</v>
      </c>
      <c r="D987" t="s">
        <v>4204</v>
      </c>
    </row>
    <row r="988" spans="1:4" x14ac:dyDescent="0.25">
      <c r="A988" t="s">
        <v>1265</v>
      </c>
      <c r="B988" t="s">
        <v>2165</v>
      </c>
      <c r="C988">
        <v>0.98600000000000099</v>
      </c>
      <c r="D988" t="s">
        <v>4204</v>
      </c>
    </row>
    <row r="989" spans="1:4" x14ac:dyDescent="0.25">
      <c r="A989" t="s">
        <v>1266</v>
      </c>
      <c r="B989" t="s">
        <v>2166</v>
      </c>
      <c r="C989">
        <v>0.98700000000000099</v>
      </c>
      <c r="D989" t="s">
        <v>4204</v>
      </c>
    </row>
    <row r="990" spans="1:4" x14ac:dyDescent="0.25">
      <c r="A990" t="s">
        <v>1267</v>
      </c>
      <c r="B990" t="s">
        <v>2167</v>
      </c>
      <c r="C990">
        <v>0.98800000000000099</v>
      </c>
      <c r="D990" t="s">
        <v>4204</v>
      </c>
    </row>
    <row r="991" spans="1:4" x14ac:dyDescent="0.25">
      <c r="A991" t="s">
        <v>1268</v>
      </c>
      <c r="B991" t="s">
        <v>2168</v>
      </c>
      <c r="C991">
        <v>0.98900000000000099</v>
      </c>
      <c r="D991" t="s">
        <v>4204</v>
      </c>
    </row>
    <row r="992" spans="1:4" x14ac:dyDescent="0.25">
      <c r="A992" t="s">
        <v>1269</v>
      </c>
      <c r="B992" t="s">
        <v>2169</v>
      </c>
      <c r="C992">
        <v>0.99000000000000099</v>
      </c>
      <c r="D992" t="s">
        <v>4204</v>
      </c>
    </row>
    <row r="993" spans="1:4" x14ac:dyDescent="0.25">
      <c r="A993" t="s">
        <v>1270</v>
      </c>
      <c r="B993" t="s">
        <v>2170</v>
      </c>
      <c r="C993">
        <v>0.99100000000000099</v>
      </c>
      <c r="D993" t="s">
        <v>4204</v>
      </c>
    </row>
    <row r="994" spans="1:4" x14ac:dyDescent="0.25">
      <c r="A994" t="s">
        <v>1271</v>
      </c>
      <c r="B994" t="s">
        <v>2171</v>
      </c>
      <c r="C994">
        <v>0.99200000000000099</v>
      </c>
      <c r="D994" t="s">
        <v>4204</v>
      </c>
    </row>
    <row r="995" spans="1:4" x14ac:dyDescent="0.25">
      <c r="A995" t="s">
        <v>1272</v>
      </c>
      <c r="B995" t="s">
        <v>2172</v>
      </c>
      <c r="C995">
        <v>0.99300000000000099</v>
      </c>
      <c r="D995" t="s">
        <v>4204</v>
      </c>
    </row>
    <row r="996" spans="1:4" x14ac:dyDescent="0.25">
      <c r="A996" t="s">
        <v>1273</v>
      </c>
      <c r="B996" t="s">
        <v>2173</v>
      </c>
      <c r="C996">
        <v>0.99400000000000099</v>
      </c>
      <c r="D996" t="s">
        <v>4204</v>
      </c>
    </row>
    <row r="997" spans="1:4" x14ac:dyDescent="0.25">
      <c r="A997" t="s">
        <v>1274</v>
      </c>
      <c r="B997" t="s">
        <v>2174</v>
      </c>
      <c r="C997">
        <v>0.99500000000000099</v>
      </c>
      <c r="D997" t="s">
        <v>4204</v>
      </c>
    </row>
    <row r="998" spans="1:4" x14ac:dyDescent="0.25">
      <c r="A998" t="s">
        <v>1275</v>
      </c>
      <c r="B998" t="s">
        <v>2175</v>
      </c>
      <c r="C998">
        <v>0.996000000000001</v>
      </c>
      <c r="D998" t="s">
        <v>4204</v>
      </c>
    </row>
    <row r="999" spans="1:4" x14ac:dyDescent="0.25">
      <c r="A999" t="s">
        <v>1276</v>
      </c>
      <c r="B999" t="s">
        <v>2176</v>
      </c>
      <c r="C999">
        <v>0.997000000000001</v>
      </c>
      <c r="D999" t="s">
        <v>4204</v>
      </c>
    </row>
    <row r="1000" spans="1:4" x14ac:dyDescent="0.25">
      <c r="A1000" t="s">
        <v>1277</v>
      </c>
      <c r="B1000" t="s">
        <v>2177</v>
      </c>
      <c r="C1000">
        <v>0.998000000000001</v>
      </c>
      <c r="D1000" t="s">
        <v>4204</v>
      </c>
    </row>
    <row r="1001" spans="1:4" x14ac:dyDescent="0.25">
      <c r="A1001" t="s">
        <v>1278</v>
      </c>
      <c r="B1001" t="s">
        <v>2178</v>
      </c>
      <c r="C1001">
        <v>0.999000000000001</v>
      </c>
      <c r="D1001" t="s">
        <v>4204</v>
      </c>
    </row>
    <row r="1002" spans="1:4" x14ac:dyDescent="0.25">
      <c r="A1002" t="s">
        <v>1279</v>
      </c>
      <c r="B1002" t="s">
        <v>2179</v>
      </c>
      <c r="C1002">
        <v>1</v>
      </c>
      <c r="D1002" t="s">
        <v>4204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530B-B6E3-4231-92E8-3183EB125401}">
  <dimension ref="A1:D5"/>
  <sheetViews>
    <sheetView workbookViewId="0"/>
  </sheetViews>
  <sheetFormatPr defaultRowHeight="15" x14ac:dyDescent="0.25"/>
  <cols>
    <col min="1" max="1" width="5" customWidth="1"/>
    <col min="2" max="2" width="18.85546875" customWidth="1"/>
    <col min="3" max="3" width="10.85546875" customWidth="1"/>
    <col min="4" max="4" width="32.7109375" bestFit="1" customWidth="1"/>
  </cols>
  <sheetData>
    <row r="1" spans="1:4" ht="15.75" thickBot="1" x14ac:dyDescent="0.3">
      <c r="A1" s="1" t="s">
        <v>6303</v>
      </c>
      <c r="B1" s="2" t="s">
        <v>2197</v>
      </c>
      <c r="C1" s="2" t="s">
        <v>2199</v>
      </c>
      <c r="D1" s="3" t="s">
        <v>2</v>
      </c>
    </row>
    <row r="2" spans="1:4" ht="15.75" thickTop="1" x14ac:dyDescent="0.25">
      <c r="A2" s="21" t="s">
        <v>2184</v>
      </c>
      <c r="B2" s="17" t="s">
        <v>2180</v>
      </c>
      <c r="C2" s="17">
        <v>0.95</v>
      </c>
      <c r="D2" s="19" t="s">
        <v>2188</v>
      </c>
    </row>
    <row r="3" spans="1:4" x14ac:dyDescent="0.25">
      <c r="A3" s="22" t="s">
        <v>2185</v>
      </c>
      <c r="B3" s="18" t="s">
        <v>2181</v>
      </c>
      <c r="C3" s="18">
        <v>1</v>
      </c>
      <c r="D3" s="20" t="s">
        <v>2188</v>
      </c>
    </row>
    <row r="4" spans="1:4" x14ac:dyDescent="0.25">
      <c r="A4" s="21" t="s">
        <v>2186</v>
      </c>
      <c r="B4" s="17" t="s">
        <v>2182</v>
      </c>
      <c r="C4" s="17">
        <v>1.1000000000000001</v>
      </c>
      <c r="D4" s="19" t="s">
        <v>2188</v>
      </c>
    </row>
    <row r="5" spans="1:4" x14ac:dyDescent="0.25">
      <c r="A5" s="23" t="s">
        <v>2187</v>
      </c>
      <c r="B5" s="24" t="s">
        <v>2183</v>
      </c>
      <c r="C5" s="24">
        <v>1.2</v>
      </c>
      <c r="D5" s="25" t="s">
        <v>2188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4B32-F853-4277-8A0F-8EBA9ADE35A0}">
  <dimension ref="A1:D4"/>
  <sheetViews>
    <sheetView workbookViewId="0">
      <selection activeCell="K15" sqref="K15"/>
    </sheetView>
  </sheetViews>
  <sheetFormatPr defaultRowHeight="15" x14ac:dyDescent="0.25"/>
  <cols>
    <col min="2" max="2" width="19.140625" bestFit="1" customWidth="1"/>
    <col min="4" max="4" width="45.5703125" customWidth="1"/>
  </cols>
  <sheetData>
    <row r="1" spans="1:4" ht="15.75" thickBot="1" x14ac:dyDescent="0.3">
      <c r="A1" s="1" t="s">
        <v>6304</v>
      </c>
      <c r="B1" s="2" t="s">
        <v>2198</v>
      </c>
      <c r="C1" s="2" t="s">
        <v>2199</v>
      </c>
      <c r="D1" s="3" t="s">
        <v>2</v>
      </c>
    </row>
    <row r="2" spans="1:4" ht="15.75" thickTop="1" x14ac:dyDescent="0.25">
      <c r="A2" s="21" t="s">
        <v>2193</v>
      </c>
      <c r="B2" s="17" t="s">
        <v>2189</v>
      </c>
      <c r="C2" s="17">
        <v>1</v>
      </c>
      <c r="D2" s="19" t="s">
        <v>2192</v>
      </c>
    </row>
    <row r="3" spans="1:4" x14ac:dyDescent="0.25">
      <c r="A3" s="22" t="s">
        <v>2194</v>
      </c>
      <c r="B3" s="18" t="s">
        <v>2190</v>
      </c>
      <c r="C3" s="18">
        <v>1.08</v>
      </c>
      <c r="D3" s="20" t="s">
        <v>2192</v>
      </c>
    </row>
    <row r="4" spans="1:4" x14ac:dyDescent="0.25">
      <c r="A4" s="21" t="s">
        <v>2195</v>
      </c>
      <c r="B4" s="17" t="s">
        <v>2191</v>
      </c>
      <c r="C4" s="17">
        <v>1.1499999999999999</v>
      </c>
      <c r="D4" s="19" t="s">
        <v>2192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DA4F-00B9-42FF-A226-E23DD8FE3FAB}">
  <dimension ref="A1:D1002"/>
  <sheetViews>
    <sheetView workbookViewId="0">
      <selection activeCell="B1" sqref="B1"/>
    </sheetView>
  </sheetViews>
  <sheetFormatPr defaultRowHeight="15" x14ac:dyDescent="0.25"/>
  <cols>
    <col min="1" max="1" width="7" bestFit="1" customWidth="1"/>
    <col min="2" max="2" width="15.140625" bestFit="1" customWidth="1"/>
    <col min="3" max="3" width="12.28515625" bestFit="1" customWidth="1"/>
    <col min="4" max="4" width="37.140625" customWidth="1"/>
  </cols>
  <sheetData>
    <row r="1" spans="1:4" ht="15.75" thickBot="1" x14ac:dyDescent="0.3">
      <c r="A1" s="1" t="s">
        <v>6305</v>
      </c>
      <c r="B1" s="2" t="s">
        <v>2201</v>
      </c>
      <c r="C1" s="2" t="s">
        <v>2199</v>
      </c>
      <c r="D1" s="3" t="s">
        <v>2</v>
      </c>
    </row>
    <row r="2" spans="1:4" ht="15.75" thickTop="1" x14ac:dyDescent="0.25">
      <c r="A2" t="s">
        <v>2200</v>
      </c>
      <c r="B2" t="s">
        <v>2202</v>
      </c>
      <c r="C2">
        <v>0</v>
      </c>
      <c r="D2" t="s">
        <v>4203</v>
      </c>
    </row>
    <row r="3" spans="1:4" x14ac:dyDescent="0.25">
      <c r="A3" t="s">
        <v>2205</v>
      </c>
      <c r="B3" t="s">
        <v>2203</v>
      </c>
      <c r="C3">
        <v>1E-3</v>
      </c>
      <c r="D3" t="s">
        <v>4203</v>
      </c>
    </row>
    <row r="4" spans="1:4" x14ac:dyDescent="0.25">
      <c r="A4" t="s">
        <v>2206</v>
      </c>
      <c r="B4" t="s">
        <v>2204</v>
      </c>
      <c r="C4">
        <v>2E-3</v>
      </c>
      <c r="D4" t="s">
        <v>4203</v>
      </c>
    </row>
    <row r="5" spans="1:4" x14ac:dyDescent="0.25">
      <c r="A5" t="s">
        <v>2207</v>
      </c>
      <c r="B5" t="s">
        <v>3205</v>
      </c>
      <c r="C5">
        <v>3.0000000000000001E-3</v>
      </c>
      <c r="D5" t="s">
        <v>4203</v>
      </c>
    </row>
    <row r="6" spans="1:4" x14ac:dyDescent="0.25">
      <c r="A6" t="s">
        <v>2208</v>
      </c>
      <c r="B6" t="s">
        <v>3206</v>
      </c>
      <c r="C6">
        <v>4.0000000000000001E-3</v>
      </c>
      <c r="D6" t="s">
        <v>4203</v>
      </c>
    </row>
    <row r="7" spans="1:4" x14ac:dyDescent="0.25">
      <c r="A7" t="s">
        <v>2209</v>
      </c>
      <c r="B7" t="s">
        <v>3207</v>
      </c>
      <c r="C7">
        <v>5.0000000000000001E-3</v>
      </c>
      <c r="D7" t="s">
        <v>4203</v>
      </c>
    </row>
    <row r="8" spans="1:4" x14ac:dyDescent="0.25">
      <c r="A8" t="s">
        <v>2210</v>
      </c>
      <c r="B8" t="s">
        <v>3208</v>
      </c>
      <c r="C8">
        <v>6.0000000000000001E-3</v>
      </c>
      <c r="D8" t="s">
        <v>4203</v>
      </c>
    </row>
    <row r="9" spans="1:4" x14ac:dyDescent="0.25">
      <c r="A9" t="s">
        <v>2211</v>
      </c>
      <c r="B9" t="s">
        <v>3209</v>
      </c>
      <c r="C9">
        <v>7.0000000000000001E-3</v>
      </c>
      <c r="D9" t="s">
        <v>4203</v>
      </c>
    </row>
    <row r="10" spans="1:4" x14ac:dyDescent="0.25">
      <c r="A10" t="s">
        <v>2212</v>
      </c>
      <c r="B10" t="s">
        <v>3210</v>
      </c>
      <c r="C10">
        <v>8.0000000000000002E-3</v>
      </c>
      <c r="D10" t="s">
        <v>4203</v>
      </c>
    </row>
    <row r="11" spans="1:4" x14ac:dyDescent="0.25">
      <c r="A11" t="s">
        <v>2213</v>
      </c>
      <c r="B11" t="s">
        <v>3211</v>
      </c>
      <c r="C11">
        <v>8.9999999999999993E-3</v>
      </c>
      <c r="D11" t="s">
        <v>4203</v>
      </c>
    </row>
    <row r="12" spans="1:4" x14ac:dyDescent="0.25">
      <c r="A12" t="s">
        <v>2214</v>
      </c>
      <c r="B12" t="s">
        <v>3212</v>
      </c>
      <c r="C12">
        <v>0.01</v>
      </c>
      <c r="D12" t="s">
        <v>4203</v>
      </c>
    </row>
    <row r="13" spans="1:4" x14ac:dyDescent="0.25">
      <c r="A13" t="s">
        <v>2215</v>
      </c>
      <c r="B13" t="s">
        <v>3213</v>
      </c>
      <c r="C13">
        <v>1.0999999999999999E-2</v>
      </c>
      <c r="D13" t="s">
        <v>4203</v>
      </c>
    </row>
    <row r="14" spans="1:4" x14ac:dyDescent="0.25">
      <c r="A14" t="s">
        <v>2216</v>
      </c>
      <c r="B14" t="s">
        <v>3214</v>
      </c>
      <c r="C14">
        <v>1.2E-2</v>
      </c>
      <c r="D14" t="s">
        <v>4203</v>
      </c>
    </row>
    <row r="15" spans="1:4" x14ac:dyDescent="0.25">
      <c r="A15" t="s">
        <v>2217</v>
      </c>
      <c r="B15" t="s">
        <v>3215</v>
      </c>
      <c r="C15">
        <v>1.2999999999999999E-2</v>
      </c>
      <c r="D15" t="s">
        <v>4203</v>
      </c>
    </row>
    <row r="16" spans="1:4" x14ac:dyDescent="0.25">
      <c r="A16" t="s">
        <v>2218</v>
      </c>
      <c r="B16" t="s">
        <v>3216</v>
      </c>
      <c r="C16">
        <v>1.4E-2</v>
      </c>
      <c r="D16" t="s">
        <v>4203</v>
      </c>
    </row>
    <row r="17" spans="1:4" x14ac:dyDescent="0.25">
      <c r="A17" t="s">
        <v>2219</v>
      </c>
      <c r="B17" t="s">
        <v>3217</v>
      </c>
      <c r="C17">
        <v>1.4999999999999999E-2</v>
      </c>
      <c r="D17" t="s">
        <v>4203</v>
      </c>
    </row>
    <row r="18" spans="1:4" x14ac:dyDescent="0.25">
      <c r="A18" t="s">
        <v>2220</v>
      </c>
      <c r="B18" t="s">
        <v>3218</v>
      </c>
      <c r="C18">
        <v>1.6E-2</v>
      </c>
      <c r="D18" t="s">
        <v>4203</v>
      </c>
    </row>
    <row r="19" spans="1:4" x14ac:dyDescent="0.25">
      <c r="A19" t="s">
        <v>2221</v>
      </c>
      <c r="B19" t="s">
        <v>3219</v>
      </c>
      <c r="C19">
        <v>1.7000000000000001E-2</v>
      </c>
      <c r="D19" t="s">
        <v>4203</v>
      </c>
    </row>
    <row r="20" spans="1:4" x14ac:dyDescent="0.25">
      <c r="A20" t="s">
        <v>2222</v>
      </c>
      <c r="B20" t="s">
        <v>3220</v>
      </c>
      <c r="C20">
        <v>1.7999999999999999E-2</v>
      </c>
      <c r="D20" t="s">
        <v>4203</v>
      </c>
    </row>
    <row r="21" spans="1:4" x14ac:dyDescent="0.25">
      <c r="A21" t="s">
        <v>2223</v>
      </c>
      <c r="B21" t="s">
        <v>3221</v>
      </c>
      <c r="C21">
        <v>1.9E-2</v>
      </c>
      <c r="D21" t="s">
        <v>4203</v>
      </c>
    </row>
    <row r="22" spans="1:4" x14ac:dyDescent="0.25">
      <c r="A22" t="s">
        <v>2224</v>
      </c>
      <c r="B22" t="s">
        <v>3222</v>
      </c>
      <c r="C22">
        <v>0.02</v>
      </c>
      <c r="D22" t="s">
        <v>4203</v>
      </c>
    </row>
    <row r="23" spans="1:4" x14ac:dyDescent="0.25">
      <c r="A23" t="s">
        <v>2225</v>
      </c>
      <c r="B23" t="s">
        <v>3223</v>
      </c>
      <c r="C23">
        <v>2.1000000000000001E-2</v>
      </c>
      <c r="D23" t="s">
        <v>4203</v>
      </c>
    </row>
    <row r="24" spans="1:4" x14ac:dyDescent="0.25">
      <c r="A24" t="s">
        <v>2226</v>
      </c>
      <c r="B24" t="s">
        <v>3224</v>
      </c>
      <c r="C24">
        <v>2.1999999999999999E-2</v>
      </c>
      <c r="D24" t="s">
        <v>4203</v>
      </c>
    </row>
    <row r="25" spans="1:4" x14ac:dyDescent="0.25">
      <c r="A25" t="s">
        <v>2227</v>
      </c>
      <c r="B25" t="s">
        <v>3225</v>
      </c>
      <c r="C25">
        <v>2.3E-2</v>
      </c>
      <c r="D25" t="s">
        <v>4203</v>
      </c>
    </row>
    <row r="26" spans="1:4" x14ac:dyDescent="0.25">
      <c r="A26" t="s">
        <v>2228</v>
      </c>
      <c r="B26" t="s">
        <v>3226</v>
      </c>
      <c r="C26">
        <v>2.4E-2</v>
      </c>
      <c r="D26" t="s">
        <v>4203</v>
      </c>
    </row>
    <row r="27" spans="1:4" x14ac:dyDescent="0.25">
      <c r="A27" t="s">
        <v>2229</v>
      </c>
      <c r="B27" t="s">
        <v>3227</v>
      </c>
      <c r="C27">
        <v>2.5000000000000001E-2</v>
      </c>
      <c r="D27" t="s">
        <v>4203</v>
      </c>
    </row>
    <row r="28" spans="1:4" x14ac:dyDescent="0.25">
      <c r="A28" t="s">
        <v>2230</v>
      </c>
      <c r="B28" t="s">
        <v>3228</v>
      </c>
      <c r="C28">
        <v>2.5999999999999999E-2</v>
      </c>
      <c r="D28" t="s">
        <v>4203</v>
      </c>
    </row>
    <row r="29" spans="1:4" x14ac:dyDescent="0.25">
      <c r="A29" t="s">
        <v>2231</v>
      </c>
      <c r="B29" t="s">
        <v>3229</v>
      </c>
      <c r="C29">
        <v>2.7E-2</v>
      </c>
      <c r="D29" t="s">
        <v>4203</v>
      </c>
    </row>
    <row r="30" spans="1:4" x14ac:dyDescent="0.25">
      <c r="A30" t="s">
        <v>2232</v>
      </c>
      <c r="B30" t="s">
        <v>3230</v>
      </c>
      <c r="C30">
        <v>2.8000000000000001E-2</v>
      </c>
      <c r="D30" t="s">
        <v>4203</v>
      </c>
    </row>
    <row r="31" spans="1:4" x14ac:dyDescent="0.25">
      <c r="A31" t="s">
        <v>2233</v>
      </c>
      <c r="B31" t="s">
        <v>3231</v>
      </c>
      <c r="C31">
        <v>2.9000000000000001E-2</v>
      </c>
      <c r="D31" t="s">
        <v>4203</v>
      </c>
    </row>
    <row r="32" spans="1:4" x14ac:dyDescent="0.25">
      <c r="A32" t="s">
        <v>2234</v>
      </c>
      <c r="B32" t="s">
        <v>3232</v>
      </c>
      <c r="C32">
        <v>0.03</v>
      </c>
      <c r="D32" t="s">
        <v>4203</v>
      </c>
    </row>
    <row r="33" spans="1:4" x14ac:dyDescent="0.25">
      <c r="A33" t="s">
        <v>2235</v>
      </c>
      <c r="B33" t="s">
        <v>3233</v>
      </c>
      <c r="C33">
        <v>3.1E-2</v>
      </c>
      <c r="D33" t="s">
        <v>4203</v>
      </c>
    </row>
    <row r="34" spans="1:4" x14ac:dyDescent="0.25">
      <c r="A34" t="s">
        <v>2236</v>
      </c>
      <c r="B34" t="s">
        <v>3234</v>
      </c>
      <c r="C34">
        <v>3.2000000000000001E-2</v>
      </c>
      <c r="D34" t="s">
        <v>4203</v>
      </c>
    </row>
    <row r="35" spans="1:4" x14ac:dyDescent="0.25">
      <c r="A35" t="s">
        <v>2237</v>
      </c>
      <c r="B35" t="s">
        <v>3235</v>
      </c>
      <c r="C35">
        <v>3.3000000000000002E-2</v>
      </c>
      <c r="D35" t="s">
        <v>4203</v>
      </c>
    </row>
    <row r="36" spans="1:4" x14ac:dyDescent="0.25">
      <c r="A36" t="s">
        <v>2238</v>
      </c>
      <c r="B36" t="s">
        <v>3236</v>
      </c>
      <c r="C36">
        <v>3.4000000000000002E-2</v>
      </c>
      <c r="D36" t="s">
        <v>4203</v>
      </c>
    </row>
    <row r="37" spans="1:4" x14ac:dyDescent="0.25">
      <c r="A37" t="s">
        <v>2239</v>
      </c>
      <c r="B37" t="s">
        <v>3237</v>
      </c>
      <c r="C37">
        <v>3.5000000000000003E-2</v>
      </c>
      <c r="D37" t="s">
        <v>4203</v>
      </c>
    </row>
    <row r="38" spans="1:4" x14ac:dyDescent="0.25">
      <c r="A38" t="s">
        <v>2240</v>
      </c>
      <c r="B38" t="s">
        <v>3238</v>
      </c>
      <c r="C38">
        <v>3.5999999999999997E-2</v>
      </c>
      <c r="D38" t="s">
        <v>4203</v>
      </c>
    </row>
    <row r="39" spans="1:4" x14ac:dyDescent="0.25">
      <c r="A39" t="s">
        <v>2241</v>
      </c>
      <c r="B39" t="s">
        <v>3239</v>
      </c>
      <c r="C39">
        <v>3.6999999999999998E-2</v>
      </c>
      <c r="D39" t="s">
        <v>4203</v>
      </c>
    </row>
    <row r="40" spans="1:4" x14ac:dyDescent="0.25">
      <c r="A40" t="s">
        <v>2242</v>
      </c>
      <c r="B40" t="s">
        <v>3240</v>
      </c>
      <c r="C40">
        <v>3.7999999999999999E-2</v>
      </c>
      <c r="D40" t="s">
        <v>4203</v>
      </c>
    </row>
    <row r="41" spans="1:4" x14ac:dyDescent="0.25">
      <c r="A41" t="s">
        <v>2243</v>
      </c>
      <c r="B41" t="s">
        <v>3241</v>
      </c>
      <c r="C41">
        <v>3.9E-2</v>
      </c>
      <c r="D41" t="s">
        <v>4203</v>
      </c>
    </row>
    <row r="42" spans="1:4" x14ac:dyDescent="0.25">
      <c r="A42" t="s">
        <v>2244</v>
      </c>
      <c r="B42" t="s">
        <v>3242</v>
      </c>
      <c r="C42">
        <v>0.04</v>
      </c>
      <c r="D42" t="s">
        <v>4203</v>
      </c>
    </row>
    <row r="43" spans="1:4" x14ac:dyDescent="0.25">
      <c r="A43" t="s">
        <v>2245</v>
      </c>
      <c r="B43" t="s">
        <v>3243</v>
      </c>
      <c r="C43">
        <v>4.1000000000000002E-2</v>
      </c>
      <c r="D43" t="s">
        <v>4203</v>
      </c>
    </row>
    <row r="44" spans="1:4" x14ac:dyDescent="0.25">
      <c r="A44" t="s">
        <v>2246</v>
      </c>
      <c r="B44" t="s">
        <v>3244</v>
      </c>
      <c r="C44">
        <v>4.2000000000000003E-2</v>
      </c>
      <c r="D44" t="s">
        <v>4203</v>
      </c>
    </row>
    <row r="45" spans="1:4" x14ac:dyDescent="0.25">
      <c r="A45" t="s">
        <v>2247</v>
      </c>
      <c r="B45" t="s">
        <v>3245</v>
      </c>
      <c r="C45">
        <v>4.2999999999999997E-2</v>
      </c>
      <c r="D45" t="s">
        <v>4203</v>
      </c>
    </row>
    <row r="46" spans="1:4" x14ac:dyDescent="0.25">
      <c r="A46" t="s">
        <v>2248</v>
      </c>
      <c r="B46" t="s">
        <v>3246</v>
      </c>
      <c r="C46">
        <v>4.3999999999999997E-2</v>
      </c>
      <c r="D46" t="s">
        <v>4203</v>
      </c>
    </row>
    <row r="47" spans="1:4" x14ac:dyDescent="0.25">
      <c r="A47" t="s">
        <v>2249</v>
      </c>
      <c r="B47" t="s">
        <v>3247</v>
      </c>
      <c r="C47">
        <v>4.4999999999999998E-2</v>
      </c>
      <c r="D47" t="s">
        <v>4203</v>
      </c>
    </row>
    <row r="48" spans="1:4" x14ac:dyDescent="0.25">
      <c r="A48" t="s">
        <v>2250</v>
      </c>
      <c r="B48" t="s">
        <v>3248</v>
      </c>
      <c r="C48">
        <v>4.5999999999999999E-2</v>
      </c>
      <c r="D48" t="s">
        <v>4203</v>
      </c>
    </row>
    <row r="49" spans="1:4" x14ac:dyDescent="0.25">
      <c r="A49" t="s">
        <v>2251</v>
      </c>
      <c r="B49" t="s">
        <v>3249</v>
      </c>
      <c r="C49">
        <v>4.7E-2</v>
      </c>
      <c r="D49" t="s">
        <v>4203</v>
      </c>
    </row>
    <row r="50" spans="1:4" x14ac:dyDescent="0.25">
      <c r="A50" t="s">
        <v>2252</v>
      </c>
      <c r="B50" t="s">
        <v>3250</v>
      </c>
      <c r="C50">
        <v>4.8000000000000001E-2</v>
      </c>
      <c r="D50" t="s">
        <v>4203</v>
      </c>
    </row>
    <row r="51" spans="1:4" x14ac:dyDescent="0.25">
      <c r="A51" t="s">
        <v>2253</v>
      </c>
      <c r="B51" t="s">
        <v>3251</v>
      </c>
      <c r="C51">
        <v>4.9000000000000002E-2</v>
      </c>
      <c r="D51" t="s">
        <v>4203</v>
      </c>
    </row>
    <row r="52" spans="1:4" x14ac:dyDescent="0.25">
      <c r="A52" t="s">
        <v>2254</v>
      </c>
      <c r="B52" t="s">
        <v>3252</v>
      </c>
      <c r="C52">
        <v>0.05</v>
      </c>
      <c r="D52" t="s">
        <v>4203</v>
      </c>
    </row>
    <row r="53" spans="1:4" x14ac:dyDescent="0.25">
      <c r="A53" t="s">
        <v>2255</v>
      </c>
      <c r="B53" t="s">
        <v>3253</v>
      </c>
      <c r="C53">
        <v>5.0999999999999997E-2</v>
      </c>
      <c r="D53" t="s">
        <v>4203</v>
      </c>
    </row>
    <row r="54" spans="1:4" x14ac:dyDescent="0.25">
      <c r="A54" t="s">
        <v>2256</v>
      </c>
      <c r="B54" t="s">
        <v>3254</v>
      </c>
      <c r="C54">
        <v>5.1999999999999998E-2</v>
      </c>
      <c r="D54" t="s">
        <v>4203</v>
      </c>
    </row>
    <row r="55" spans="1:4" x14ac:dyDescent="0.25">
      <c r="A55" t="s">
        <v>2257</v>
      </c>
      <c r="B55" t="s">
        <v>3255</v>
      </c>
      <c r="C55">
        <v>5.2999999999999999E-2</v>
      </c>
      <c r="D55" t="s">
        <v>4203</v>
      </c>
    </row>
    <row r="56" spans="1:4" x14ac:dyDescent="0.25">
      <c r="A56" t="s">
        <v>2258</v>
      </c>
      <c r="B56" t="s">
        <v>3256</v>
      </c>
      <c r="C56">
        <v>5.3999999999999999E-2</v>
      </c>
      <c r="D56" t="s">
        <v>4203</v>
      </c>
    </row>
    <row r="57" spans="1:4" x14ac:dyDescent="0.25">
      <c r="A57" t="s">
        <v>2259</v>
      </c>
      <c r="B57" t="s">
        <v>3257</v>
      </c>
      <c r="C57">
        <v>5.5E-2</v>
      </c>
      <c r="D57" t="s">
        <v>4203</v>
      </c>
    </row>
    <row r="58" spans="1:4" x14ac:dyDescent="0.25">
      <c r="A58" t="s">
        <v>2260</v>
      </c>
      <c r="B58" t="s">
        <v>3258</v>
      </c>
      <c r="C58">
        <v>5.6000000000000001E-2</v>
      </c>
      <c r="D58" t="s">
        <v>4203</v>
      </c>
    </row>
    <row r="59" spans="1:4" x14ac:dyDescent="0.25">
      <c r="A59" t="s">
        <v>2261</v>
      </c>
      <c r="B59" t="s">
        <v>3259</v>
      </c>
      <c r="C59">
        <v>5.7000000000000002E-2</v>
      </c>
      <c r="D59" t="s">
        <v>4203</v>
      </c>
    </row>
    <row r="60" spans="1:4" x14ac:dyDescent="0.25">
      <c r="A60" t="s">
        <v>2262</v>
      </c>
      <c r="B60" t="s">
        <v>3260</v>
      </c>
      <c r="C60">
        <v>5.8000000000000003E-2</v>
      </c>
      <c r="D60" t="s">
        <v>4203</v>
      </c>
    </row>
    <row r="61" spans="1:4" x14ac:dyDescent="0.25">
      <c r="A61" t="s">
        <v>2263</v>
      </c>
      <c r="B61" t="s">
        <v>3261</v>
      </c>
      <c r="C61">
        <v>5.8999999999999997E-2</v>
      </c>
      <c r="D61" t="s">
        <v>4203</v>
      </c>
    </row>
    <row r="62" spans="1:4" x14ac:dyDescent="0.25">
      <c r="A62" t="s">
        <v>2264</v>
      </c>
      <c r="B62" t="s">
        <v>3262</v>
      </c>
      <c r="C62">
        <v>0.06</v>
      </c>
      <c r="D62" t="s">
        <v>4203</v>
      </c>
    </row>
    <row r="63" spans="1:4" x14ac:dyDescent="0.25">
      <c r="A63" t="s">
        <v>2265</v>
      </c>
      <c r="B63" t="s">
        <v>3263</v>
      </c>
      <c r="C63">
        <v>6.0999999999999999E-2</v>
      </c>
      <c r="D63" t="s">
        <v>4203</v>
      </c>
    </row>
    <row r="64" spans="1:4" x14ac:dyDescent="0.25">
      <c r="A64" t="s">
        <v>2266</v>
      </c>
      <c r="B64" t="s">
        <v>3264</v>
      </c>
      <c r="C64">
        <v>6.2E-2</v>
      </c>
      <c r="D64" t="s">
        <v>4203</v>
      </c>
    </row>
    <row r="65" spans="1:4" x14ac:dyDescent="0.25">
      <c r="A65" t="s">
        <v>2267</v>
      </c>
      <c r="B65" t="s">
        <v>3265</v>
      </c>
      <c r="C65">
        <v>6.3E-2</v>
      </c>
      <c r="D65" t="s">
        <v>4203</v>
      </c>
    </row>
    <row r="66" spans="1:4" x14ac:dyDescent="0.25">
      <c r="A66" t="s">
        <v>2268</v>
      </c>
      <c r="B66" t="s">
        <v>3266</v>
      </c>
      <c r="C66">
        <v>6.4000000000000001E-2</v>
      </c>
      <c r="D66" t="s">
        <v>4203</v>
      </c>
    </row>
    <row r="67" spans="1:4" x14ac:dyDescent="0.25">
      <c r="A67" t="s">
        <v>2269</v>
      </c>
      <c r="B67" t="s">
        <v>3267</v>
      </c>
      <c r="C67">
        <v>6.5000000000000002E-2</v>
      </c>
      <c r="D67" t="s">
        <v>4203</v>
      </c>
    </row>
    <row r="68" spans="1:4" x14ac:dyDescent="0.25">
      <c r="A68" t="s">
        <v>2270</v>
      </c>
      <c r="B68" t="s">
        <v>3268</v>
      </c>
      <c r="C68">
        <v>6.6000000000000003E-2</v>
      </c>
      <c r="D68" t="s">
        <v>4203</v>
      </c>
    </row>
    <row r="69" spans="1:4" x14ac:dyDescent="0.25">
      <c r="A69" t="s">
        <v>2271</v>
      </c>
      <c r="B69" t="s">
        <v>3269</v>
      </c>
      <c r="C69">
        <v>6.7000000000000004E-2</v>
      </c>
      <c r="D69" t="s">
        <v>4203</v>
      </c>
    </row>
    <row r="70" spans="1:4" x14ac:dyDescent="0.25">
      <c r="A70" t="s">
        <v>2272</v>
      </c>
      <c r="B70" t="s">
        <v>3270</v>
      </c>
      <c r="C70">
        <v>6.8000000000000005E-2</v>
      </c>
      <c r="D70" t="s">
        <v>4203</v>
      </c>
    </row>
    <row r="71" spans="1:4" x14ac:dyDescent="0.25">
      <c r="A71" t="s">
        <v>2273</v>
      </c>
      <c r="B71" t="s">
        <v>3271</v>
      </c>
      <c r="C71">
        <v>6.9000000000000006E-2</v>
      </c>
      <c r="D71" t="s">
        <v>4203</v>
      </c>
    </row>
    <row r="72" spans="1:4" x14ac:dyDescent="0.25">
      <c r="A72" t="s">
        <v>2274</v>
      </c>
      <c r="B72" t="s">
        <v>3272</v>
      </c>
      <c r="C72">
        <v>7.0000000000000007E-2</v>
      </c>
      <c r="D72" t="s">
        <v>4203</v>
      </c>
    </row>
    <row r="73" spans="1:4" x14ac:dyDescent="0.25">
      <c r="A73" t="s">
        <v>2275</v>
      </c>
      <c r="B73" t="s">
        <v>3273</v>
      </c>
      <c r="C73">
        <v>7.0999999999999994E-2</v>
      </c>
      <c r="D73" t="s">
        <v>4203</v>
      </c>
    </row>
    <row r="74" spans="1:4" x14ac:dyDescent="0.25">
      <c r="A74" t="s">
        <v>2276</v>
      </c>
      <c r="B74" t="s">
        <v>3274</v>
      </c>
      <c r="C74">
        <v>7.1999999999999995E-2</v>
      </c>
      <c r="D74" t="s">
        <v>4203</v>
      </c>
    </row>
    <row r="75" spans="1:4" x14ac:dyDescent="0.25">
      <c r="A75" t="s">
        <v>2277</v>
      </c>
      <c r="B75" t="s">
        <v>3275</v>
      </c>
      <c r="C75">
        <v>7.2999999999999995E-2</v>
      </c>
      <c r="D75" t="s">
        <v>4203</v>
      </c>
    </row>
    <row r="76" spans="1:4" x14ac:dyDescent="0.25">
      <c r="A76" t="s">
        <v>2278</v>
      </c>
      <c r="B76" t="s">
        <v>3276</v>
      </c>
      <c r="C76">
        <v>7.3999999999999996E-2</v>
      </c>
      <c r="D76" t="s">
        <v>4203</v>
      </c>
    </row>
    <row r="77" spans="1:4" x14ac:dyDescent="0.25">
      <c r="A77" t="s">
        <v>2279</v>
      </c>
      <c r="B77" t="s">
        <v>3277</v>
      </c>
      <c r="C77">
        <v>7.4999999999999997E-2</v>
      </c>
      <c r="D77" t="s">
        <v>4203</v>
      </c>
    </row>
    <row r="78" spans="1:4" x14ac:dyDescent="0.25">
      <c r="A78" t="s">
        <v>2280</v>
      </c>
      <c r="B78" t="s">
        <v>3278</v>
      </c>
      <c r="C78">
        <v>7.5999999999999998E-2</v>
      </c>
      <c r="D78" t="s">
        <v>4203</v>
      </c>
    </row>
    <row r="79" spans="1:4" x14ac:dyDescent="0.25">
      <c r="A79" t="s">
        <v>2281</v>
      </c>
      <c r="B79" t="s">
        <v>3279</v>
      </c>
      <c r="C79">
        <v>7.6999999999999999E-2</v>
      </c>
      <c r="D79" t="s">
        <v>4203</v>
      </c>
    </row>
    <row r="80" spans="1:4" x14ac:dyDescent="0.25">
      <c r="A80" t="s">
        <v>2282</v>
      </c>
      <c r="B80" t="s">
        <v>3280</v>
      </c>
      <c r="C80">
        <v>7.8E-2</v>
      </c>
      <c r="D80" t="s">
        <v>4203</v>
      </c>
    </row>
    <row r="81" spans="1:4" x14ac:dyDescent="0.25">
      <c r="A81" t="s">
        <v>2283</v>
      </c>
      <c r="B81" t="s">
        <v>3281</v>
      </c>
      <c r="C81">
        <v>7.9000000000000001E-2</v>
      </c>
      <c r="D81" t="s">
        <v>4203</v>
      </c>
    </row>
    <row r="82" spans="1:4" x14ac:dyDescent="0.25">
      <c r="A82" t="s">
        <v>2284</v>
      </c>
      <c r="B82" t="s">
        <v>3282</v>
      </c>
      <c r="C82">
        <v>0.08</v>
      </c>
      <c r="D82" t="s">
        <v>4203</v>
      </c>
    </row>
    <row r="83" spans="1:4" x14ac:dyDescent="0.25">
      <c r="A83" t="s">
        <v>2285</v>
      </c>
      <c r="B83" t="s">
        <v>3283</v>
      </c>
      <c r="C83">
        <v>8.1000000000000003E-2</v>
      </c>
      <c r="D83" t="s">
        <v>4203</v>
      </c>
    </row>
    <row r="84" spans="1:4" x14ac:dyDescent="0.25">
      <c r="A84" t="s">
        <v>2286</v>
      </c>
      <c r="B84" t="s">
        <v>3284</v>
      </c>
      <c r="C84">
        <v>8.2000000000000003E-2</v>
      </c>
      <c r="D84" t="s">
        <v>4203</v>
      </c>
    </row>
    <row r="85" spans="1:4" x14ac:dyDescent="0.25">
      <c r="A85" t="s">
        <v>2287</v>
      </c>
      <c r="B85" t="s">
        <v>3285</v>
      </c>
      <c r="C85">
        <v>8.3000000000000004E-2</v>
      </c>
      <c r="D85" t="s">
        <v>4203</v>
      </c>
    </row>
    <row r="86" spans="1:4" x14ac:dyDescent="0.25">
      <c r="A86" t="s">
        <v>2288</v>
      </c>
      <c r="B86" t="s">
        <v>3286</v>
      </c>
      <c r="C86">
        <v>8.4000000000000005E-2</v>
      </c>
      <c r="D86" t="s">
        <v>4203</v>
      </c>
    </row>
    <row r="87" spans="1:4" x14ac:dyDescent="0.25">
      <c r="A87" t="s">
        <v>2289</v>
      </c>
      <c r="B87" t="s">
        <v>3287</v>
      </c>
      <c r="C87">
        <v>8.5000000000000006E-2</v>
      </c>
      <c r="D87" t="s">
        <v>4203</v>
      </c>
    </row>
    <row r="88" spans="1:4" x14ac:dyDescent="0.25">
      <c r="A88" t="s">
        <v>2290</v>
      </c>
      <c r="B88" t="s">
        <v>3288</v>
      </c>
      <c r="C88">
        <v>8.5999999999999993E-2</v>
      </c>
      <c r="D88" t="s">
        <v>4203</v>
      </c>
    </row>
    <row r="89" spans="1:4" x14ac:dyDescent="0.25">
      <c r="A89" t="s">
        <v>2291</v>
      </c>
      <c r="B89" t="s">
        <v>3289</v>
      </c>
      <c r="C89">
        <v>8.6999999999999994E-2</v>
      </c>
      <c r="D89" t="s">
        <v>4203</v>
      </c>
    </row>
    <row r="90" spans="1:4" x14ac:dyDescent="0.25">
      <c r="A90" t="s">
        <v>2292</v>
      </c>
      <c r="B90" t="s">
        <v>3290</v>
      </c>
      <c r="C90">
        <v>8.7999999999999995E-2</v>
      </c>
      <c r="D90" t="s">
        <v>4203</v>
      </c>
    </row>
    <row r="91" spans="1:4" x14ac:dyDescent="0.25">
      <c r="A91" t="s">
        <v>2293</v>
      </c>
      <c r="B91" t="s">
        <v>3291</v>
      </c>
      <c r="C91">
        <v>8.8999999999999996E-2</v>
      </c>
      <c r="D91" t="s">
        <v>4203</v>
      </c>
    </row>
    <row r="92" spans="1:4" x14ac:dyDescent="0.25">
      <c r="A92" t="s">
        <v>2294</v>
      </c>
      <c r="B92" t="s">
        <v>3292</v>
      </c>
      <c r="C92">
        <v>0.09</v>
      </c>
      <c r="D92" t="s">
        <v>4203</v>
      </c>
    </row>
    <row r="93" spans="1:4" x14ac:dyDescent="0.25">
      <c r="A93" t="s">
        <v>2295</v>
      </c>
      <c r="B93" t="s">
        <v>3293</v>
      </c>
      <c r="C93">
        <v>9.0999999999999998E-2</v>
      </c>
      <c r="D93" t="s">
        <v>4203</v>
      </c>
    </row>
    <row r="94" spans="1:4" x14ac:dyDescent="0.25">
      <c r="A94" t="s">
        <v>2296</v>
      </c>
      <c r="B94" t="s">
        <v>3294</v>
      </c>
      <c r="C94">
        <v>9.1999999999999998E-2</v>
      </c>
      <c r="D94" t="s">
        <v>4203</v>
      </c>
    </row>
    <row r="95" spans="1:4" x14ac:dyDescent="0.25">
      <c r="A95" t="s">
        <v>2297</v>
      </c>
      <c r="B95" t="s">
        <v>3295</v>
      </c>
      <c r="C95">
        <v>9.2999999999999999E-2</v>
      </c>
      <c r="D95" t="s">
        <v>4203</v>
      </c>
    </row>
    <row r="96" spans="1:4" x14ac:dyDescent="0.25">
      <c r="A96" t="s">
        <v>2298</v>
      </c>
      <c r="B96" t="s">
        <v>3296</v>
      </c>
      <c r="C96">
        <v>9.4E-2</v>
      </c>
      <c r="D96" t="s">
        <v>4203</v>
      </c>
    </row>
    <row r="97" spans="1:4" x14ac:dyDescent="0.25">
      <c r="A97" t="s">
        <v>2299</v>
      </c>
      <c r="B97" t="s">
        <v>3297</v>
      </c>
      <c r="C97">
        <v>9.5000000000000001E-2</v>
      </c>
      <c r="D97" t="s">
        <v>4203</v>
      </c>
    </row>
    <row r="98" spans="1:4" x14ac:dyDescent="0.25">
      <c r="A98" t="s">
        <v>2300</v>
      </c>
      <c r="B98" t="s">
        <v>3298</v>
      </c>
      <c r="C98">
        <v>9.6000000000000099E-2</v>
      </c>
      <c r="D98" t="s">
        <v>4203</v>
      </c>
    </row>
    <row r="99" spans="1:4" x14ac:dyDescent="0.25">
      <c r="A99" t="s">
        <v>2301</v>
      </c>
      <c r="B99" t="s">
        <v>3299</v>
      </c>
      <c r="C99">
        <v>9.70000000000001E-2</v>
      </c>
      <c r="D99" t="s">
        <v>4203</v>
      </c>
    </row>
    <row r="100" spans="1:4" x14ac:dyDescent="0.25">
      <c r="A100" t="s">
        <v>2302</v>
      </c>
      <c r="B100" t="s">
        <v>3300</v>
      </c>
      <c r="C100">
        <v>9.8000000000000101E-2</v>
      </c>
      <c r="D100" t="s">
        <v>4203</v>
      </c>
    </row>
    <row r="101" spans="1:4" x14ac:dyDescent="0.25">
      <c r="A101" t="s">
        <v>2303</v>
      </c>
      <c r="B101" t="s">
        <v>3301</v>
      </c>
      <c r="C101">
        <v>9.9000000000000102E-2</v>
      </c>
      <c r="D101" t="s">
        <v>4203</v>
      </c>
    </row>
    <row r="102" spans="1:4" x14ac:dyDescent="0.25">
      <c r="A102" t="s">
        <v>2304</v>
      </c>
      <c r="B102" t="s">
        <v>3302</v>
      </c>
      <c r="C102">
        <v>0.1</v>
      </c>
      <c r="D102" t="s">
        <v>4203</v>
      </c>
    </row>
    <row r="103" spans="1:4" x14ac:dyDescent="0.25">
      <c r="A103" t="s">
        <v>2305</v>
      </c>
      <c r="B103" t="s">
        <v>3303</v>
      </c>
      <c r="C103">
        <v>0.10100000000000001</v>
      </c>
      <c r="D103" t="s">
        <v>4203</v>
      </c>
    </row>
    <row r="104" spans="1:4" x14ac:dyDescent="0.25">
      <c r="A104" t="s">
        <v>2306</v>
      </c>
      <c r="B104" t="s">
        <v>3304</v>
      </c>
      <c r="C104">
        <v>0.10199999999999999</v>
      </c>
      <c r="D104" t="s">
        <v>4203</v>
      </c>
    </row>
    <row r="105" spans="1:4" x14ac:dyDescent="0.25">
      <c r="A105" t="s">
        <v>2307</v>
      </c>
      <c r="B105" t="s">
        <v>3305</v>
      </c>
      <c r="C105">
        <v>0.10299999999999999</v>
      </c>
      <c r="D105" t="s">
        <v>4203</v>
      </c>
    </row>
    <row r="106" spans="1:4" x14ac:dyDescent="0.25">
      <c r="A106" t="s">
        <v>2308</v>
      </c>
      <c r="B106" t="s">
        <v>3306</v>
      </c>
      <c r="C106">
        <v>0.104</v>
      </c>
      <c r="D106" t="s">
        <v>4203</v>
      </c>
    </row>
    <row r="107" spans="1:4" x14ac:dyDescent="0.25">
      <c r="A107" t="s">
        <v>2309</v>
      </c>
      <c r="B107" t="s">
        <v>3307</v>
      </c>
      <c r="C107">
        <v>0.105</v>
      </c>
      <c r="D107" t="s">
        <v>4203</v>
      </c>
    </row>
    <row r="108" spans="1:4" x14ac:dyDescent="0.25">
      <c r="A108" t="s">
        <v>2310</v>
      </c>
      <c r="B108" t="s">
        <v>3308</v>
      </c>
      <c r="C108">
        <v>0.106</v>
      </c>
      <c r="D108" t="s">
        <v>4203</v>
      </c>
    </row>
    <row r="109" spans="1:4" x14ac:dyDescent="0.25">
      <c r="A109" t="s">
        <v>2311</v>
      </c>
      <c r="B109" t="s">
        <v>3309</v>
      </c>
      <c r="C109">
        <v>0.107</v>
      </c>
      <c r="D109" t="s">
        <v>4203</v>
      </c>
    </row>
    <row r="110" spans="1:4" x14ac:dyDescent="0.25">
      <c r="A110" t="s">
        <v>2312</v>
      </c>
      <c r="B110" t="s">
        <v>3310</v>
      </c>
      <c r="C110">
        <v>0.108</v>
      </c>
      <c r="D110" t="s">
        <v>4203</v>
      </c>
    </row>
    <row r="111" spans="1:4" x14ac:dyDescent="0.25">
      <c r="A111" t="s">
        <v>2313</v>
      </c>
      <c r="B111" t="s">
        <v>3311</v>
      </c>
      <c r="C111">
        <v>0.109</v>
      </c>
      <c r="D111" t="s">
        <v>4203</v>
      </c>
    </row>
    <row r="112" spans="1:4" x14ac:dyDescent="0.25">
      <c r="A112" t="s">
        <v>2314</v>
      </c>
      <c r="B112" t="s">
        <v>3312</v>
      </c>
      <c r="C112">
        <v>0.11</v>
      </c>
      <c r="D112" t="s">
        <v>4203</v>
      </c>
    </row>
    <row r="113" spans="1:4" x14ac:dyDescent="0.25">
      <c r="A113" t="s">
        <v>2315</v>
      </c>
      <c r="B113" t="s">
        <v>3313</v>
      </c>
      <c r="C113">
        <v>0.111</v>
      </c>
      <c r="D113" t="s">
        <v>4203</v>
      </c>
    </row>
    <row r="114" spans="1:4" x14ac:dyDescent="0.25">
      <c r="A114" t="s">
        <v>2316</v>
      </c>
      <c r="B114" t="s">
        <v>3314</v>
      </c>
      <c r="C114">
        <v>0.112</v>
      </c>
      <c r="D114" t="s">
        <v>4203</v>
      </c>
    </row>
    <row r="115" spans="1:4" x14ac:dyDescent="0.25">
      <c r="A115" t="s">
        <v>2317</v>
      </c>
      <c r="B115" t="s">
        <v>3315</v>
      </c>
      <c r="C115">
        <v>0.113</v>
      </c>
      <c r="D115" t="s">
        <v>4203</v>
      </c>
    </row>
    <row r="116" spans="1:4" x14ac:dyDescent="0.25">
      <c r="A116" t="s">
        <v>2318</v>
      </c>
      <c r="B116" t="s">
        <v>3316</v>
      </c>
      <c r="C116">
        <v>0.114</v>
      </c>
      <c r="D116" t="s">
        <v>4203</v>
      </c>
    </row>
    <row r="117" spans="1:4" x14ac:dyDescent="0.25">
      <c r="A117" t="s">
        <v>2319</v>
      </c>
      <c r="B117" t="s">
        <v>3317</v>
      </c>
      <c r="C117">
        <v>0.115</v>
      </c>
      <c r="D117" t="s">
        <v>4203</v>
      </c>
    </row>
    <row r="118" spans="1:4" x14ac:dyDescent="0.25">
      <c r="A118" t="s">
        <v>2320</v>
      </c>
      <c r="B118" t="s">
        <v>3318</v>
      </c>
      <c r="C118">
        <v>0.11600000000000001</v>
      </c>
      <c r="D118" t="s">
        <v>4203</v>
      </c>
    </row>
    <row r="119" spans="1:4" x14ac:dyDescent="0.25">
      <c r="A119" t="s">
        <v>2321</v>
      </c>
      <c r="B119" t="s">
        <v>3319</v>
      </c>
      <c r="C119">
        <v>0.11700000000000001</v>
      </c>
      <c r="D119" t="s">
        <v>4203</v>
      </c>
    </row>
    <row r="120" spans="1:4" x14ac:dyDescent="0.25">
      <c r="A120" t="s">
        <v>2322</v>
      </c>
      <c r="B120" t="s">
        <v>3320</v>
      </c>
      <c r="C120">
        <v>0.11799999999999999</v>
      </c>
      <c r="D120" t="s">
        <v>4203</v>
      </c>
    </row>
    <row r="121" spans="1:4" x14ac:dyDescent="0.25">
      <c r="A121" t="s">
        <v>2323</v>
      </c>
      <c r="B121" t="s">
        <v>3321</v>
      </c>
      <c r="C121">
        <v>0.11899999999999999</v>
      </c>
      <c r="D121" t="s">
        <v>4203</v>
      </c>
    </row>
    <row r="122" spans="1:4" x14ac:dyDescent="0.25">
      <c r="A122" t="s">
        <v>2324</v>
      </c>
      <c r="B122" t="s">
        <v>3322</v>
      </c>
      <c r="C122">
        <v>0.12</v>
      </c>
      <c r="D122" t="s">
        <v>4203</v>
      </c>
    </row>
    <row r="123" spans="1:4" x14ac:dyDescent="0.25">
      <c r="A123" t="s">
        <v>2325</v>
      </c>
      <c r="B123" t="s">
        <v>3323</v>
      </c>
      <c r="C123">
        <v>0.121</v>
      </c>
      <c r="D123" t="s">
        <v>4203</v>
      </c>
    </row>
    <row r="124" spans="1:4" x14ac:dyDescent="0.25">
      <c r="A124" t="s">
        <v>2326</v>
      </c>
      <c r="B124" t="s">
        <v>3324</v>
      </c>
      <c r="C124">
        <v>0.122</v>
      </c>
      <c r="D124" t="s">
        <v>4203</v>
      </c>
    </row>
    <row r="125" spans="1:4" x14ac:dyDescent="0.25">
      <c r="A125" t="s">
        <v>2327</v>
      </c>
      <c r="B125" t="s">
        <v>3325</v>
      </c>
      <c r="C125">
        <v>0.123</v>
      </c>
      <c r="D125" t="s">
        <v>4203</v>
      </c>
    </row>
    <row r="126" spans="1:4" x14ac:dyDescent="0.25">
      <c r="A126" t="s">
        <v>2328</v>
      </c>
      <c r="B126" t="s">
        <v>3326</v>
      </c>
      <c r="C126">
        <v>0.124</v>
      </c>
      <c r="D126" t="s">
        <v>4203</v>
      </c>
    </row>
    <row r="127" spans="1:4" x14ac:dyDescent="0.25">
      <c r="A127" t="s">
        <v>2329</v>
      </c>
      <c r="B127" t="s">
        <v>3327</v>
      </c>
      <c r="C127">
        <v>0.125</v>
      </c>
      <c r="D127" t="s">
        <v>4203</v>
      </c>
    </row>
    <row r="128" spans="1:4" x14ac:dyDescent="0.25">
      <c r="A128" t="s">
        <v>2330</v>
      </c>
      <c r="B128" t="s">
        <v>3328</v>
      </c>
      <c r="C128">
        <v>0.126</v>
      </c>
      <c r="D128" t="s">
        <v>4203</v>
      </c>
    </row>
    <row r="129" spans="1:4" x14ac:dyDescent="0.25">
      <c r="A129" t="s">
        <v>2331</v>
      </c>
      <c r="B129" t="s">
        <v>3329</v>
      </c>
      <c r="C129">
        <v>0.127</v>
      </c>
      <c r="D129" t="s">
        <v>4203</v>
      </c>
    </row>
    <row r="130" spans="1:4" x14ac:dyDescent="0.25">
      <c r="A130" t="s">
        <v>2332</v>
      </c>
      <c r="B130" t="s">
        <v>3330</v>
      </c>
      <c r="C130">
        <v>0.128</v>
      </c>
      <c r="D130" t="s">
        <v>4203</v>
      </c>
    </row>
    <row r="131" spans="1:4" x14ac:dyDescent="0.25">
      <c r="A131" t="s">
        <v>2333</v>
      </c>
      <c r="B131" t="s">
        <v>3331</v>
      </c>
      <c r="C131">
        <v>0.129</v>
      </c>
      <c r="D131" t="s">
        <v>4203</v>
      </c>
    </row>
    <row r="132" spans="1:4" x14ac:dyDescent="0.25">
      <c r="A132" t="s">
        <v>2334</v>
      </c>
      <c r="B132" t="s">
        <v>3332</v>
      </c>
      <c r="C132">
        <v>0.13</v>
      </c>
      <c r="D132" t="s">
        <v>4203</v>
      </c>
    </row>
    <row r="133" spans="1:4" x14ac:dyDescent="0.25">
      <c r="A133" t="s">
        <v>2335</v>
      </c>
      <c r="B133" t="s">
        <v>3333</v>
      </c>
      <c r="C133">
        <v>0.13100000000000001</v>
      </c>
      <c r="D133" t="s">
        <v>4203</v>
      </c>
    </row>
    <row r="134" spans="1:4" x14ac:dyDescent="0.25">
      <c r="A134" t="s">
        <v>2336</v>
      </c>
      <c r="B134" t="s">
        <v>3334</v>
      </c>
      <c r="C134">
        <v>0.13200000000000001</v>
      </c>
      <c r="D134" t="s">
        <v>4203</v>
      </c>
    </row>
    <row r="135" spans="1:4" x14ac:dyDescent="0.25">
      <c r="A135" t="s">
        <v>2337</v>
      </c>
      <c r="B135" t="s">
        <v>3335</v>
      </c>
      <c r="C135">
        <v>0.13300000000000001</v>
      </c>
      <c r="D135" t="s">
        <v>4203</v>
      </c>
    </row>
    <row r="136" spans="1:4" x14ac:dyDescent="0.25">
      <c r="A136" t="s">
        <v>2338</v>
      </c>
      <c r="B136" t="s">
        <v>3336</v>
      </c>
      <c r="C136">
        <v>0.13400000000000001</v>
      </c>
      <c r="D136" t="s">
        <v>4203</v>
      </c>
    </row>
    <row r="137" spans="1:4" x14ac:dyDescent="0.25">
      <c r="A137" t="s">
        <v>2339</v>
      </c>
      <c r="B137" t="s">
        <v>3337</v>
      </c>
      <c r="C137">
        <v>0.13500000000000001</v>
      </c>
      <c r="D137" t="s">
        <v>4203</v>
      </c>
    </row>
    <row r="138" spans="1:4" x14ac:dyDescent="0.25">
      <c r="A138" t="s">
        <v>2340</v>
      </c>
      <c r="B138" t="s">
        <v>3338</v>
      </c>
      <c r="C138">
        <v>0.13600000000000001</v>
      </c>
      <c r="D138" t="s">
        <v>4203</v>
      </c>
    </row>
    <row r="139" spans="1:4" x14ac:dyDescent="0.25">
      <c r="A139" t="s">
        <v>2341</v>
      </c>
      <c r="B139" t="s">
        <v>3339</v>
      </c>
      <c r="C139">
        <v>0.13700000000000001</v>
      </c>
      <c r="D139" t="s">
        <v>4203</v>
      </c>
    </row>
    <row r="140" spans="1:4" x14ac:dyDescent="0.25">
      <c r="A140" t="s">
        <v>2342</v>
      </c>
      <c r="B140" t="s">
        <v>3340</v>
      </c>
      <c r="C140">
        <v>0.13800000000000001</v>
      </c>
      <c r="D140" t="s">
        <v>4203</v>
      </c>
    </row>
    <row r="141" spans="1:4" x14ac:dyDescent="0.25">
      <c r="A141" t="s">
        <v>2343</v>
      </c>
      <c r="B141" t="s">
        <v>3341</v>
      </c>
      <c r="C141">
        <v>0.13900000000000001</v>
      </c>
      <c r="D141" t="s">
        <v>4203</v>
      </c>
    </row>
    <row r="142" spans="1:4" x14ac:dyDescent="0.25">
      <c r="A142" t="s">
        <v>2344</v>
      </c>
      <c r="B142" t="s">
        <v>3342</v>
      </c>
      <c r="C142">
        <v>0.14000000000000001</v>
      </c>
      <c r="D142" t="s">
        <v>4203</v>
      </c>
    </row>
    <row r="143" spans="1:4" x14ac:dyDescent="0.25">
      <c r="A143" t="s">
        <v>2345</v>
      </c>
      <c r="B143" t="s">
        <v>3343</v>
      </c>
      <c r="C143">
        <v>0.14099999999999999</v>
      </c>
      <c r="D143" t="s">
        <v>4203</v>
      </c>
    </row>
    <row r="144" spans="1:4" x14ac:dyDescent="0.25">
      <c r="A144" t="s">
        <v>2346</v>
      </c>
      <c r="B144" t="s">
        <v>3344</v>
      </c>
      <c r="C144">
        <v>0.14199999999999999</v>
      </c>
      <c r="D144" t="s">
        <v>4203</v>
      </c>
    </row>
    <row r="145" spans="1:4" x14ac:dyDescent="0.25">
      <c r="A145" t="s">
        <v>2347</v>
      </c>
      <c r="B145" t="s">
        <v>3345</v>
      </c>
      <c r="C145">
        <v>0.14299999999999999</v>
      </c>
      <c r="D145" t="s">
        <v>4203</v>
      </c>
    </row>
    <row r="146" spans="1:4" x14ac:dyDescent="0.25">
      <c r="A146" t="s">
        <v>2348</v>
      </c>
      <c r="B146" t="s">
        <v>3346</v>
      </c>
      <c r="C146">
        <v>0.14399999999999999</v>
      </c>
      <c r="D146" t="s">
        <v>4203</v>
      </c>
    </row>
    <row r="147" spans="1:4" x14ac:dyDescent="0.25">
      <c r="A147" t="s">
        <v>2349</v>
      </c>
      <c r="B147" t="s">
        <v>3347</v>
      </c>
      <c r="C147">
        <v>0.14499999999999999</v>
      </c>
      <c r="D147" t="s">
        <v>4203</v>
      </c>
    </row>
    <row r="148" spans="1:4" x14ac:dyDescent="0.25">
      <c r="A148" t="s">
        <v>2350</v>
      </c>
      <c r="B148" t="s">
        <v>3348</v>
      </c>
      <c r="C148">
        <v>0.14599999999999999</v>
      </c>
      <c r="D148" t="s">
        <v>4203</v>
      </c>
    </row>
    <row r="149" spans="1:4" x14ac:dyDescent="0.25">
      <c r="A149" t="s">
        <v>2351</v>
      </c>
      <c r="B149" t="s">
        <v>3349</v>
      </c>
      <c r="C149">
        <v>0.14699999999999999</v>
      </c>
      <c r="D149" t="s">
        <v>4203</v>
      </c>
    </row>
    <row r="150" spans="1:4" x14ac:dyDescent="0.25">
      <c r="A150" t="s">
        <v>2352</v>
      </c>
      <c r="B150" t="s">
        <v>3350</v>
      </c>
      <c r="C150">
        <v>0.14799999999999999</v>
      </c>
      <c r="D150" t="s">
        <v>4203</v>
      </c>
    </row>
    <row r="151" spans="1:4" x14ac:dyDescent="0.25">
      <c r="A151" t="s">
        <v>2353</v>
      </c>
      <c r="B151" t="s">
        <v>3351</v>
      </c>
      <c r="C151">
        <v>0.14899999999999999</v>
      </c>
      <c r="D151" t="s">
        <v>4203</v>
      </c>
    </row>
    <row r="152" spans="1:4" x14ac:dyDescent="0.25">
      <c r="A152" t="s">
        <v>2354</v>
      </c>
      <c r="B152" t="s">
        <v>3352</v>
      </c>
      <c r="C152">
        <v>0.15</v>
      </c>
      <c r="D152" t="s">
        <v>4203</v>
      </c>
    </row>
    <row r="153" spans="1:4" x14ac:dyDescent="0.25">
      <c r="A153" t="s">
        <v>2355</v>
      </c>
      <c r="B153" t="s">
        <v>3353</v>
      </c>
      <c r="C153">
        <v>0.151</v>
      </c>
      <c r="D153" t="s">
        <v>4203</v>
      </c>
    </row>
    <row r="154" spans="1:4" x14ac:dyDescent="0.25">
      <c r="A154" t="s">
        <v>2356</v>
      </c>
      <c r="B154" t="s">
        <v>3354</v>
      </c>
      <c r="C154">
        <v>0.152</v>
      </c>
      <c r="D154" t="s">
        <v>4203</v>
      </c>
    </row>
    <row r="155" spans="1:4" x14ac:dyDescent="0.25">
      <c r="A155" t="s">
        <v>2357</v>
      </c>
      <c r="B155" t="s">
        <v>3355</v>
      </c>
      <c r="C155">
        <v>0.153</v>
      </c>
      <c r="D155" t="s">
        <v>4203</v>
      </c>
    </row>
    <row r="156" spans="1:4" x14ac:dyDescent="0.25">
      <c r="A156" t="s">
        <v>2358</v>
      </c>
      <c r="B156" t="s">
        <v>3356</v>
      </c>
      <c r="C156">
        <v>0.154</v>
      </c>
      <c r="D156" t="s">
        <v>4203</v>
      </c>
    </row>
    <row r="157" spans="1:4" x14ac:dyDescent="0.25">
      <c r="A157" t="s">
        <v>2359</v>
      </c>
      <c r="B157" t="s">
        <v>3357</v>
      </c>
      <c r="C157">
        <v>0.155</v>
      </c>
      <c r="D157" t="s">
        <v>4203</v>
      </c>
    </row>
    <row r="158" spans="1:4" x14ac:dyDescent="0.25">
      <c r="A158" t="s">
        <v>2360</v>
      </c>
      <c r="B158" t="s">
        <v>3358</v>
      </c>
      <c r="C158">
        <v>0.156</v>
      </c>
      <c r="D158" t="s">
        <v>4203</v>
      </c>
    </row>
    <row r="159" spans="1:4" x14ac:dyDescent="0.25">
      <c r="A159" t="s">
        <v>2361</v>
      </c>
      <c r="B159" t="s">
        <v>3359</v>
      </c>
      <c r="C159">
        <v>0.157</v>
      </c>
      <c r="D159" t="s">
        <v>4203</v>
      </c>
    </row>
    <row r="160" spans="1:4" x14ac:dyDescent="0.25">
      <c r="A160" t="s">
        <v>2362</v>
      </c>
      <c r="B160" t="s">
        <v>3360</v>
      </c>
      <c r="C160">
        <v>0.158</v>
      </c>
      <c r="D160" t="s">
        <v>4203</v>
      </c>
    </row>
    <row r="161" spans="1:4" x14ac:dyDescent="0.25">
      <c r="A161" t="s">
        <v>2363</v>
      </c>
      <c r="B161" t="s">
        <v>3361</v>
      </c>
      <c r="C161">
        <v>0.159</v>
      </c>
      <c r="D161" t="s">
        <v>4203</v>
      </c>
    </row>
    <row r="162" spans="1:4" x14ac:dyDescent="0.25">
      <c r="A162" t="s">
        <v>2364</v>
      </c>
      <c r="B162" t="s">
        <v>3362</v>
      </c>
      <c r="C162">
        <v>0.16</v>
      </c>
      <c r="D162" t="s">
        <v>4203</v>
      </c>
    </row>
    <row r="163" spans="1:4" x14ac:dyDescent="0.25">
      <c r="A163" t="s">
        <v>2365</v>
      </c>
      <c r="B163" t="s">
        <v>3363</v>
      </c>
      <c r="C163">
        <v>0.161</v>
      </c>
      <c r="D163" t="s">
        <v>4203</v>
      </c>
    </row>
    <row r="164" spans="1:4" x14ac:dyDescent="0.25">
      <c r="A164" t="s">
        <v>2366</v>
      </c>
      <c r="B164" t="s">
        <v>3364</v>
      </c>
      <c r="C164">
        <v>0.16200000000000001</v>
      </c>
      <c r="D164" t="s">
        <v>4203</v>
      </c>
    </row>
    <row r="165" spans="1:4" x14ac:dyDescent="0.25">
      <c r="A165" t="s">
        <v>2367</v>
      </c>
      <c r="B165" t="s">
        <v>3365</v>
      </c>
      <c r="C165">
        <v>0.16300000000000001</v>
      </c>
      <c r="D165" t="s">
        <v>4203</v>
      </c>
    </row>
    <row r="166" spans="1:4" x14ac:dyDescent="0.25">
      <c r="A166" t="s">
        <v>2368</v>
      </c>
      <c r="B166" t="s">
        <v>3366</v>
      </c>
      <c r="C166">
        <v>0.16400000000000001</v>
      </c>
      <c r="D166" t="s">
        <v>4203</v>
      </c>
    </row>
    <row r="167" spans="1:4" x14ac:dyDescent="0.25">
      <c r="A167" t="s">
        <v>2369</v>
      </c>
      <c r="B167" t="s">
        <v>3367</v>
      </c>
      <c r="C167">
        <v>0.16500000000000001</v>
      </c>
      <c r="D167" t="s">
        <v>4203</v>
      </c>
    </row>
    <row r="168" spans="1:4" x14ac:dyDescent="0.25">
      <c r="A168" t="s">
        <v>2370</v>
      </c>
      <c r="B168" t="s">
        <v>3368</v>
      </c>
      <c r="C168">
        <v>0.16600000000000001</v>
      </c>
      <c r="D168" t="s">
        <v>4203</v>
      </c>
    </row>
    <row r="169" spans="1:4" x14ac:dyDescent="0.25">
      <c r="A169" t="s">
        <v>2371</v>
      </c>
      <c r="B169" t="s">
        <v>3369</v>
      </c>
      <c r="C169">
        <v>0.16700000000000001</v>
      </c>
      <c r="D169" t="s">
        <v>4203</v>
      </c>
    </row>
    <row r="170" spans="1:4" x14ac:dyDescent="0.25">
      <c r="A170" t="s">
        <v>2372</v>
      </c>
      <c r="B170" t="s">
        <v>3370</v>
      </c>
      <c r="C170">
        <v>0.16800000000000001</v>
      </c>
      <c r="D170" t="s">
        <v>4203</v>
      </c>
    </row>
    <row r="171" spans="1:4" x14ac:dyDescent="0.25">
      <c r="A171" t="s">
        <v>2373</v>
      </c>
      <c r="B171" t="s">
        <v>3371</v>
      </c>
      <c r="C171">
        <v>0.16900000000000001</v>
      </c>
      <c r="D171" t="s">
        <v>4203</v>
      </c>
    </row>
    <row r="172" spans="1:4" x14ac:dyDescent="0.25">
      <c r="A172" t="s">
        <v>2374</v>
      </c>
      <c r="B172" t="s">
        <v>3372</v>
      </c>
      <c r="C172">
        <v>0.17</v>
      </c>
      <c r="D172" t="s">
        <v>4203</v>
      </c>
    </row>
    <row r="173" spans="1:4" x14ac:dyDescent="0.25">
      <c r="A173" t="s">
        <v>2375</v>
      </c>
      <c r="B173" t="s">
        <v>3373</v>
      </c>
      <c r="C173">
        <v>0.17100000000000001</v>
      </c>
      <c r="D173" t="s">
        <v>4203</v>
      </c>
    </row>
    <row r="174" spans="1:4" x14ac:dyDescent="0.25">
      <c r="A174" t="s">
        <v>2376</v>
      </c>
      <c r="B174" t="s">
        <v>3374</v>
      </c>
      <c r="C174">
        <v>0.17199999999999999</v>
      </c>
      <c r="D174" t="s">
        <v>4203</v>
      </c>
    </row>
    <row r="175" spans="1:4" x14ac:dyDescent="0.25">
      <c r="A175" t="s">
        <v>2377</v>
      </c>
      <c r="B175" t="s">
        <v>3375</v>
      </c>
      <c r="C175">
        <v>0.17299999999999999</v>
      </c>
      <c r="D175" t="s">
        <v>4203</v>
      </c>
    </row>
    <row r="176" spans="1:4" x14ac:dyDescent="0.25">
      <c r="A176" t="s">
        <v>2378</v>
      </c>
      <c r="B176" t="s">
        <v>3376</v>
      </c>
      <c r="C176">
        <v>0.17399999999999999</v>
      </c>
      <c r="D176" t="s">
        <v>4203</v>
      </c>
    </row>
    <row r="177" spans="1:4" x14ac:dyDescent="0.25">
      <c r="A177" t="s">
        <v>2379</v>
      </c>
      <c r="B177" t="s">
        <v>3377</v>
      </c>
      <c r="C177">
        <v>0.17499999999999999</v>
      </c>
      <c r="D177" t="s">
        <v>4203</v>
      </c>
    </row>
    <row r="178" spans="1:4" x14ac:dyDescent="0.25">
      <c r="A178" t="s">
        <v>2380</v>
      </c>
      <c r="B178" t="s">
        <v>3378</v>
      </c>
      <c r="C178">
        <v>0.17599999999999999</v>
      </c>
      <c r="D178" t="s">
        <v>4203</v>
      </c>
    </row>
    <row r="179" spans="1:4" x14ac:dyDescent="0.25">
      <c r="A179" t="s">
        <v>2381</v>
      </c>
      <c r="B179" t="s">
        <v>3379</v>
      </c>
      <c r="C179">
        <v>0.17699999999999999</v>
      </c>
      <c r="D179" t="s">
        <v>4203</v>
      </c>
    </row>
    <row r="180" spans="1:4" x14ac:dyDescent="0.25">
      <c r="A180" t="s">
        <v>2382</v>
      </c>
      <c r="B180" t="s">
        <v>3380</v>
      </c>
      <c r="C180">
        <v>0.17799999999999999</v>
      </c>
      <c r="D180" t="s">
        <v>4203</v>
      </c>
    </row>
    <row r="181" spans="1:4" x14ac:dyDescent="0.25">
      <c r="A181" t="s">
        <v>2383</v>
      </c>
      <c r="B181" t="s">
        <v>3381</v>
      </c>
      <c r="C181">
        <v>0.17899999999999999</v>
      </c>
      <c r="D181" t="s">
        <v>4203</v>
      </c>
    </row>
    <row r="182" spans="1:4" x14ac:dyDescent="0.25">
      <c r="A182" t="s">
        <v>2384</v>
      </c>
      <c r="B182" t="s">
        <v>3382</v>
      </c>
      <c r="C182">
        <v>0.18</v>
      </c>
      <c r="D182" t="s">
        <v>4203</v>
      </c>
    </row>
    <row r="183" spans="1:4" x14ac:dyDescent="0.25">
      <c r="A183" t="s">
        <v>2385</v>
      </c>
      <c r="B183" t="s">
        <v>3383</v>
      </c>
      <c r="C183">
        <v>0.18099999999999999</v>
      </c>
      <c r="D183" t="s">
        <v>4203</v>
      </c>
    </row>
    <row r="184" spans="1:4" x14ac:dyDescent="0.25">
      <c r="A184" t="s">
        <v>2386</v>
      </c>
      <c r="B184" t="s">
        <v>3384</v>
      </c>
      <c r="C184">
        <v>0.182</v>
      </c>
      <c r="D184" t="s">
        <v>4203</v>
      </c>
    </row>
    <row r="185" spans="1:4" x14ac:dyDescent="0.25">
      <c r="A185" t="s">
        <v>2387</v>
      </c>
      <c r="B185" t="s">
        <v>3385</v>
      </c>
      <c r="C185">
        <v>0.183</v>
      </c>
      <c r="D185" t="s">
        <v>4203</v>
      </c>
    </row>
    <row r="186" spans="1:4" x14ac:dyDescent="0.25">
      <c r="A186" t="s">
        <v>2388</v>
      </c>
      <c r="B186" t="s">
        <v>3386</v>
      </c>
      <c r="C186">
        <v>0.184</v>
      </c>
      <c r="D186" t="s">
        <v>4203</v>
      </c>
    </row>
    <row r="187" spans="1:4" x14ac:dyDescent="0.25">
      <c r="A187" t="s">
        <v>2389</v>
      </c>
      <c r="B187" t="s">
        <v>3387</v>
      </c>
      <c r="C187">
        <v>0.185</v>
      </c>
      <c r="D187" t="s">
        <v>4203</v>
      </c>
    </row>
    <row r="188" spans="1:4" x14ac:dyDescent="0.25">
      <c r="A188" t="s">
        <v>2390</v>
      </c>
      <c r="B188" t="s">
        <v>3388</v>
      </c>
      <c r="C188">
        <v>0.186</v>
      </c>
      <c r="D188" t="s">
        <v>4203</v>
      </c>
    </row>
    <row r="189" spans="1:4" x14ac:dyDescent="0.25">
      <c r="A189" t="s">
        <v>2391</v>
      </c>
      <c r="B189" t="s">
        <v>3389</v>
      </c>
      <c r="C189">
        <v>0.187</v>
      </c>
      <c r="D189" t="s">
        <v>4203</v>
      </c>
    </row>
    <row r="190" spans="1:4" x14ac:dyDescent="0.25">
      <c r="A190" t="s">
        <v>2392</v>
      </c>
      <c r="B190" t="s">
        <v>3390</v>
      </c>
      <c r="C190">
        <v>0.188</v>
      </c>
      <c r="D190" t="s">
        <v>4203</v>
      </c>
    </row>
    <row r="191" spans="1:4" x14ac:dyDescent="0.25">
      <c r="A191" t="s">
        <v>2393</v>
      </c>
      <c r="B191" t="s">
        <v>3391</v>
      </c>
      <c r="C191">
        <v>0.189</v>
      </c>
      <c r="D191" t="s">
        <v>4203</v>
      </c>
    </row>
    <row r="192" spans="1:4" x14ac:dyDescent="0.25">
      <c r="A192" t="s">
        <v>2394</v>
      </c>
      <c r="B192" t="s">
        <v>3392</v>
      </c>
      <c r="C192">
        <v>0.19</v>
      </c>
      <c r="D192" t="s">
        <v>4203</v>
      </c>
    </row>
    <row r="193" spans="1:4" x14ac:dyDescent="0.25">
      <c r="A193" t="s">
        <v>2395</v>
      </c>
      <c r="B193" t="s">
        <v>3393</v>
      </c>
      <c r="C193">
        <v>0.191</v>
      </c>
      <c r="D193" t="s">
        <v>4203</v>
      </c>
    </row>
    <row r="194" spans="1:4" x14ac:dyDescent="0.25">
      <c r="A194" t="s">
        <v>2396</v>
      </c>
      <c r="B194" t="s">
        <v>3394</v>
      </c>
      <c r="C194">
        <v>0.192</v>
      </c>
      <c r="D194" t="s">
        <v>4203</v>
      </c>
    </row>
    <row r="195" spans="1:4" x14ac:dyDescent="0.25">
      <c r="A195" t="s">
        <v>2397</v>
      </c>
      <c r="B195" t="s">
        <v>3395</v>
      </c>
      <c r="C195">
        <v>0.193</v>
      </c>
      <c r="D195" t="s">
        <v>4203</v>
      </c>
    </row>
    <row r="196" spans="1:4" x14ac:dyDescent="0.25">
      <c r="A196" t="s">
        <v>2398</v>
      </c>
      <c r="B196" t="s">
        <v>3396</v>
      </c>
      <c r="C196">
        <v>0.19400000000000001</v>
      </c>
      <c r="D196" t="s">
        <v>4203</v>
      </c>
    </row>
    <row r="197" spans="1:4" x14ac:dyDescent="0.25">
      <c r="A197" t="s">
        <v>2399</v>
      </c>
      <c r="B197" t="s">
        <v>3397</v>
      </c>
      <c r="C197">
        <v>0.19500000000000001</v>
      </c>
      <c r="D197" t="s">
        <v>4203</v>
      </c>
    </row>
    <row r="198" spans="1:4" x14ac:dyDescent="0.25">
      <c r="A198" t="s">
        <v>2400</v>
      </c>
      <c r="B198" t="s">
        <v>3398</v>
      </c>
      <c r="C198">
        <v>0.19600000000000001</v>
      </c>
      <c r="D198" t="s">
        <v>4203</v>
      </c>
    </row>
    <row r="199" spans="1:4" x14ac:dyDescent="0.25">
      <c r="A199" t="s">
        <v>2401</v>
      </c>
      <c r="B199" t="s">
        <v>3399</v>
      </c>
      <c r="C199">
        <v>0.19700000000000001</v>
      </c>
      <c r="D199" t="s">
        <v>4203</v>
      </c>
    </row>
    <row r="200" spans="1:4" x14ac:dyDescent="0.25">
      <c r="A200" t="s">
        <v>2402</v>
      </c>
      <c r="B200" t="s">
        <v>3400</v>
      </c>
      <c r="C200">
        <v>0.19800000000000001</v>
      </c>
      <c r="D200" t="s">
        <v>4203</v>
      </c>
    </row>
    <row r="201" spans="1:4" x14ac:dyDescent="0.25">
      <c r="A201" t="s">
        <v>2403</v>
      </c>
      <c r="B201" t="s">
        <v>3401</v>
      </c>
      <c r="C201">
        <v>0.19900000000000001</v>
      </c>
      <c r="D201" t="s">
        <v>4203</v>
      </c>
    </row>
    <row r="202" spans="1:4" x14ac:dyDescent="0.25">
      <c r="A202" t="s">
        <v>2404</v>
      </c>
      <c r="B202" t="s">
        <v>3402</v>
      </c>
      <c r="C202">
        <v>0.2</v>
      </c>
      <c r="D202" t="s">
        <v>4203</v>
      </c>
    </row>
    <row r="203" spans="1:4" x14ac:dyDescent="0.25">
      <c r="A203" t="s">
        <v>2405</v>
      </c>
      <c r="B203" t="s">
        <v>3403</v>
      </c>
      <c r="C203">
        <v>0.20100000000000001</v>
      </c>
      <c r="D203" t="s">
        <v>4203</v>
      </c>
    </row>
    <row r="204" spans="1:4" x14ac:dyDescent="0.25">
      <c r="A204" t="s">
        <v>2406</v>
      </c>
      <c r="B204" t="s">
        <v>3404</v>
      </c>
      <c r="C204">
        <v>0.20200000000000001</v>
      </c>
      <c r="D204" t="s">
        <v>4203</v>
      </c>
    </row>
    <row r="205" spans="1:4" x14ac:dyDescent="0.25">
      <c r="A205" t="s">
        <v>2407</v>
      </c>
      <c r="B205" t="s">
        <v>3405</v>
      </c>
      <c r="C205">
        <v>0.20300000000000001</v>
      </c>
      <c r="D205" t="s">
        <v>4203</v>
      </c>
    </row>
    <row r="206" spans="1:4" x14ac:dyDescent="0.25">
      <c r="A206" t="s">
        <v>2408</v>
      </c>
      <c r="B206" t="s">
        <v>3406</v>
      </c>
      <c r="C206">
        <v>0.20399999999999999</v>
      </c>
      <c r="D206" t="s">
        <v>4203</v>
      </c>
    </row>
    <row r="207" spans="1:4" x14ac:dyDescent="0.25">
      <c r="A207" t="s">
        <v>2409</v>
      </c>
      <c r="B207" t="s">
        <v>3407</v>
      </c>
      <c r="C207">
        <v>0.20499999999999999</v>
      </c>
      <c r="D207" t="s">
        <v>4203</v>
      </c>
    </row>
    <row r="208" spans="1:4" x14ac:dyDescent="0.25">
      <c r="A208" t="s">
        <v>2410</v>
      </c>
      <c r="B208" t="s">
        <v>3408</v>
      </c>
      <c r="C208">
        <v>0.20599999999999999</v>
      </c>
      <c r="D208" t="s">
        <v>4203</v>
      </c>
    </row>
    <row r="209" spans="1:4" x14ac:dyDescent="0.25">
      <c r="A209" t="s">
        <v>2411</v>
      </c>
      <c r="B209" t="s">
        <v>3409</v>
      </c>
      <c r="C209">
        <v>0.20699999999999999</v>
      </c>
      <c r="D209" t="s">
        <v>4203</v>
      </c>
    </row>
    <row r="210" spans="1:4" x14ac:dyDescent="0.25">
      <c r="A210" t="s">
        <v>2412</v>
      </c>
      <c r="B210" t="s">
        <v>3410</v>
      </c>
      <c r="C210">
        <v>0.20799999999999999</v>
      </c>
      <c r="D210" t="s">
        <v>4203</v>
      </c>
    </row>
    <row r="211" spans="1:4" x14ac:dyDescent="0.25">
      <c r="A211" t="s">
        <v>2413</v>
      </c>
      <c r="B211" t="s">
        <v>3411</v>
      </c>
      <c r="C211">
        <v>0.20899999999999999</v>
      </c>
      <c r="D211" t="s">
        <v>4203</v>
      </c>
    </row>
    <row r="212" spans="1:4" x14ac:dyDescent="0.25">
      <c r="A212" t="s">
        <v>2414</v>
      </c>
      <c r="B212" t="s">
        <v>3412</v>
      </c>
      <c r="C212">
        <v>0.21</v>
      </c>
      <c r="D212" t="s">
        <v>4203</v>
      </c>
    </row>
    <row r="213" spans="1:4" x14ac:dyDescent="0.25">
      <c r="A213" t="s">
        <v>2415</v>
      </c>
      <c r="B213" t="s">
        <v>3413</v>
      </c>
      <c r="C213">
        <v>0.21099999999999999</v>
      </c>
      <c r="D213" t="s">
        <v>4203</v>
      </c>
    </row>
    <row r="214" spans="1:4" x14ac:dyDescent="0.25">
      <c r="A214" t="s">
        <v>2416</v>
      </c>
      <c r="B214" t="s">
        <v>3414</v>
      </c>
      <c r="C214">
        <v>0.21199999999999999</v>
      </c>
      <c r="D214" t="s">
        <v>4203</v>
      </c>
    </row>
    <row r="215" spans="1:4" x14ac:dyDescent="0.25">
      <c r="A215" t="s">
        <v>2417</v>
      </c>
      <c r="B215" t="s">
        <v>3415</v>
      </c>
      <c r="C215">
        <v>0.21299999999999999</v>
      </c>
      <c r="D215" t="s">
        <v>4203</v>
      </c>
    </row>
    <row r="216" spans="1:4" x14ac:dyDescent="0.25">
      <c r="A216" t="s">
        <v>2418</v>
      </c>
      <c r="B216" t="s">
        <v>3416</v>
      </c>
      <c r="C216">
        <v>0.214</v>
      </c>
      <c r="D216" t="s">
        <v>4203</v>
      </c>
    </row>
    <row r="217" spans="1:4" x14ac:dyDescent="0.25">
      <c r="A217" t="s">
        <v>2419</v>
      </c>
      <c r="B217" t="s">
        <v>3417</v>
      </c>
      <c r="C217">
        <v>0.215</v>
      </c>
      <c r="D217" t="s">
        <v>4203</v>
      </c>
    </row>
    <row r="218" spans="1:4" x14ac:dyDescent="0.25">
      <c r="A218" t="s">
        <v>2420</v>
      </c>
      <c r="B218" t="s">
        <v>3418</v>
      </c>
      <c r="C218">
        <v>0.216</v>
      </c>
      <c r="D218" t="s">
        <v>4203</v>
      </c>
    </row>
    <row r="219" spans="1:4" x14ac:dyDescent="0.25">
      <c r="A219" t="s">
        <v>2421</v>
      </c>
      <c r="B219" t="s">
        <v>3419</v>
      </c>
      <c r="C219">
        <v>0.217</v>
      </c>
      <c r="D219" t="s">
        <v>4203</v>
      </c>
    </row>
    <row r="220" spans="1:4" x14ac:dyDescent="0.25">
      <c r="A220" t="s">
        <v>2422</v>
      </c>
      <c r="B220" t="s">
        <v>3420</v>
      </c>
      <c r="C220">
        <v>0.218</v>
      </c>
      <c r="D220" t="s">
        <v>4203</v>
      </c>
    </row>
    <row r="221" spans="1:4" x14ac:dyDescent="0.25">
      <c r="A221" t="s">
        <v>2423</v>
      </c>
      <c r="B221" t="s">
        <v>3421</v>
      </c>
      <c r="C221">
        <v>0.219</v>
      </c>
      <c r="D221" t="s">
        <v>4203</v>
      </c>
    </row>
    <row r="222" spans="1:4" x14ac:dyDescent="0.25">
      <c r="A222" t="s">
        <v>2424</v>
      </c>
      <c r="B222" t="s">
        <v>3422</v>
      </c>
      <c r="C222">
        <v>0.22</v>
      </c>
      <c r="D222" t="s">
        <v>4203</v>
      </c>
    </row>
    <row r="223" spans="1:4" x14ac:dyDescent="0.25">
      <c r="A223" t="s">
        <v>2425</v>
      </c>
      <c r="B223" t="s">
        <v>3423</v>
      </c>
      <c r="C223">
        <v>0.221</v>
      </c>
      <c r="D223" t="s">
        <v>4203</v>
      </c>
    </row>
    <row r="224" spans="1:4" x14ac:dyDescent="0.25">
      <c r="A224" t="s">
        <v>2426</v>
      </c>
      <c r="B224" t="s">
        <v>3424</v>
      </c>
      <c r="C224">
        <v>0.222</v>
      </c>
      <c r="D224" t="s">
        <v>4203</v>
      </c>
    </row>
    <row r="225" spans="1:4" x14ac:dyDescent="0.25">
      <c r="A225" t="s">
        <v>2427</v>
      </c>
      <c r="B225" t="s">
        <v>3425</v>
      </c>
      <c r="C225">
        <v>0.223</v>
      </c>
      <c r="D225" t="s">
        <v>4203</v>
      </c>
    </row>
    <row r="226" spans="1:4" x14ac:dyDescent="0.25">
      <c r="A226" t="s">
        <v>2428</v>
      </c>
      <c r="B226" t="s">
        <v>3426</v>
      </c>
      <c r="C226">
        <v>0.224</v>
      </c>
      <c r="D226" t="s">
        <v>4203</v>
      </c>
    </row>
    <row r="227" spans="1:4" x14ac:dyDescent="0.25">
      <c r="A227" t="s">
        <v>2429</v>
      </c>
      <c r="B227" t="s">
        <v>3427</v>
      </c>
      <c r="C227">
        <v>0.22500000000000001</v>
      </c>
      <c r="D227" t="s">
        <v>4203</v>
      </c>
    </row>
    <row r="228" spans="1:4" x14ac:dyDescent="0.25">
      <c r="A228" t="s">
        <v>2430</v>
      </c>
      <c r="B228" t="s">
        <v>3428</v>
      </c>
      <c r="C228">
        <v>0.22600000000000001</v>
      </c>
      <c r="D228" t="s">
        <v>4203</v>
      </c>
    </row>
    <row r="229" spans="1:4" x14ac:dyDescent="0.25">
      <c r="A229" t="s">
        <v>2431</v>
      </c>
      <c r="B229" t="s">
        <v>3429</v>
      </c>
      <c r="C229">
        <v>0.22700000000000001</v>
      </c>
      <c r="D229" t="s">
        <v>4203</v>
      </c>
    </row>
    <row r="230" spans="1:4" x14ac:dyDescent="0.25">
      <c r="A230" t="s">
        <v>2432</v>
      </c>
      <c r="B230" t="s">
        <v>3430</v>
      </c>
      <c r="C230">
        <v>0.22800000000000001</v>
      </c>
      <c r="D230" t="s">
        <v>4203</v>
      </c>
    </row>
    <row r="231" spans="1:4" x14ac:dyDescent="0.25">
      <c r="A231" t="s">
        <v>2433</v>
      </c>
      <c r="B231" t="s">
        <v>3431</v>
      </c>
      <c r="C231">
        <v>0.22900000000000001</v>
      </c>
      <c r="D231" t="s">
        <v>4203</v>
      </c>
    </row>
    <row r="232" spans="1:4" x14ac:dyDescent="0.25">
      <c r="A232" t="s">
        <v>2434</v>
      </c>
      <c r="B232" t="s">
        <v>3432</v>
      </c>
      <c r="C232">
        <v>0.23</v>
      </c>
      <c r="D232" t="s">
        <v>4203</v>
      </c>
    </row>
    <row r="233" spans="1:4" x14ac:dyDescent="0.25">
      <c r="A233" t="s">
        <v>2435</v>
      </c>
      <c r="B233" t="s">
        <v>3433</v>
      </c>
      <c r="C233">
        <v>0.23100000000000001</v>
      </c>
      <c r="D233" t="s">
        <v>4203</v>
      </c>
    </row>
    <row r="234" spans="1:4" x14ac:dyDescent="0.25">
      <c r="A234" t="s">
        <v>2436</v>
      </c>
      <c r="B234" t="s">
        <v>3434</v>
      </c>
      <c r="C234">
        <v>0.23200000000000001</v>
      </c>
      <c r="D234" t="s">
        <v>4203</v>
      </c>
    </row>
    <row r="235" spans="1:4" x14ac:dyDescent="0.25">
      <c r="A235" t="s">
        <v>2437</v>
      </c>
      <c r="B235" t="s">
        <v>3435</v>
      </c>
      <c r="C235">
        <v>0.23300000000000001</v>
      </c>
      <c r="D235" t="s">
        <v>4203</v>
      </c>
    </row>
    <row r="236" spans="1:4" x14ac:dyDescent="0.25">
      <c r="A236" t="s">
        <v>2438</v>
      </c>
      <c r="B236" t="s">
        <v>3436</v>
      </c>
      <c r="C236">
        <v>0.23400000000000001</v>
      </c>
      <c r="D236" t="s">
        <v>4203</v>
      </c>
    </row>
    <row r="237" spans="1:4" x14ac:dyDescent="0.25">
      <c r="A237" t="s">
        <v>2439</v>
      </c>
      <c r="B237" t="s">
        <v>3437</v>
      </c>
      <c r="C237">
        <v>0.23499999999999999</v>
      </c>
      <c r="D237" t="s">
        <v>4203</v>
      </c>
    </row>
    <row r="238" spans="1:4" x14ac:dyDescent="0.25">
      <c r="A238" t="s">
        <v>2440</v>
      </c>
      <c r="B238" t="s">
        <v>3438</v>
      </c>
      <c r="C238">
        <v>0.23599999999999999</v>
      </c>
      <c r="D238" t="s">
        <v>4203</v>
      </c>
    </row>
    <row r="239" spans="1:4" x14ac:dyDescent="0.25">
      <c r="A239" t="s">
        <v>2441</v>
      </c>
      <c r="B239" t="s">
        <v>3439</v>
      </c>
      <c r="C239">
        <v>0.23699999999999999</v>
      </c>
      <c r="D239" t="s">
        <v>4203</v>
      </c>
    </row>
    <row r="240" spans="1:4" x14ac:dyDescent="0.25">
      <c r="A240" t="s">
        <v>2442</v>
      </c>
      <c r="B240" t="s">
        <v>3440</v>
      </c>
      <c r="C240">
        <v>0.23799999999999999</v>
      </c>
      <c r="D240" t="s">
        <v>4203</v>
      </c>
    </row>
    <row r="241" spans="1:4" x14ac:dyDescent="0.25">
      <c r="A241" t="s">
        <v>2443</v>
      </c>
      <c r="B241" t="s">
        <v>3441</v>
      </c>
      <c r="C241">
        <v>0.23899999999999999</v>
      </c>
      <c r="D241" t="s">
        <v>4203</v>
      </c>
    </row>
    <row r="242" spans="1:4" x14ac:dyDescent="0.25">
      <c r="A242" t="s">
        <v>2444</v>
      </c>
      <c r="B242" t="s">
        <v>3442</v>
      </c>
      <c r="C242">
        <v>0.24</v>
      </c>
      <c r="D242" t="s">
        <v>4203</v>
      </c>
    </row>
    <row r="243" spans="1:4" x14ac:dyDescent="0.25">
      <c r="A243" t="s">
        <v>2445</v>
      </c>
      <c r="B243" t="s">
        <v>3443</v>
      </c>
      <c r="C243">
        <v>0.24099999999999999</v>
      </c>
      <c r="D243" t="s">
        <v>4203</v>
      </c>
    </row>
    <row r="244" spans="1:4" x14ac:dyDescent="0.25">
      <c r="A244" t="s">
        <v>2446</v>
      </c>
      <c r="B244" t="s">
        <v>3444</v>
      </c>
      <c r="C244">
        <v>0.24199999999999999</v>
      </c>
      <c r="D244" t="s">
        <v>4203</v>
      </c>
    </row>
    <row r="245" spans="1:4" x14ac:dyDescent="0.25">
      <c r="A245" t="s">
        <v>2447</v>
      </c>
      <c r="B245" t="s">
        <v>3445</v>
      </c>
      <c r="C245">
        <v>0.24299999999999999</v>
      </c>
      <c r="D245" t="s">
        <v>4203</v>
      </c>
    </row>
    <row r="246" spans="1:4" x14ac:dyDescent="0.25">
      <c r="A246" t="s">
        <v>2448</v>
      </c>
      <c r="B246" t="s">
        <v>3446</v>
      </c>
      <c r="C246">
        <v>0.24399999999999999</v>
      </c>
      <c r="D246" t="s">
        <v>4203</v>
      </c>
    </row>
    <row r="247" spans="1:4" x14ac:dyDescent="0.25">
      <c r="A247" t="s">
        <v>2449</v>
      </c>
      <c r="B247" t="s">
        <v>3447</v>
      </c>
      <c r="C247">
        <v>0.245</v>
      </c>
      <c r="D247" t="s">
        <v>4203</v>
      </c>
    </row>
    <row r="248" spans="1:4" x14ac:dyDescent="0.25">
      <c r="A248" t="s">
        <v>2450</v>
      </c>
      <c r="B248" t="s">
        <v>3448</v>
      </c>
      <c r="C248">
        <v>0.246</v>
      </c>
      <c r="D248" t="s">
        <v>4203</v>
      </c>
    </row>
    <row r="249" spans="1:4" x14ac:dyDescent="0.25">
      <c r="A249" t="s">
        <v>2451</v>
      </c>
      <c r="B249" t="s">
        <v>3449</v>
      </c>
      <c r="C249">
        <v>0.247</v>
      </c>
      <c r="D249" t="s">
        <v>4203</v>
      </c>
    </row>
    <row r="250" spans="1:4" x14ac:dyDescent="0.25">
      <c r="A250" t="s">
        <v>2452</v>
      </c>
      <c r="B250" t="s">
        <v>3450</v>
      </c>
      <c r="C250">
        <v>0.248</v>
      </c>
      <c r="D250" t="s">
        <v>4203</v>
      </c>
    </row>
    <row r="251" spans="1:4" x14ac:dyDescent="0.25">
      <c r="A251" t="s">
        <v>2453</v>
      </c>
      <c r="B251" t="s">
        <v>3451</v>
      </c>
      <c r="C251">
        <v>0.249</v>
      </c>
      <c r="D251" t="s">
        <v>4203</v>
      </c>
    </row>
    <row r="252" spans="1:4" x14ac:dyDescent="0.25">
      <c r="A252" t="s">
        <v>2454</v>
      </c>
      <c r="B252" t="s">
        <v>3452</v>
      </c>
      <c r="C252">
        <v>0.25</v>
      </c>
      <c r="D252" t="s">
        <v>4203</v>
      </c>
    </row>
    <row r="253" spans="1:4" x14ac:dyDescent="0.25">
      <c r="A253" t="s">
        <v>2455</v>
      </c>
      <c r="B253" t="s">
        <v>3453</v>
      </c>
      <c r="C253">
        <v>0.251</v>
      </c>
      <c r="D253" t="s">
        <v>4203</v>
      </c>
    </row>
    <row r="254" spans="1:4" x14ac:dyDescent="0.25">
      <c r="A254" t="s">
        <v>2456</v>
      </c>
      <c r="B254" t="s">
        <v>3454</v>
      </c>
      <c r="C254">
        <v>0.252</v>
      </c>
      <c r="D254" t="s">
        <v>4203</v>
      </c>
    </row>
    <row r="255" spans="1:4" x14ac:dyDescent="0.25">
      <c r="A255" t="s">
        <v>2457</v>
      </c>
      <c r="B255" t="s">
        <v>3455</v>
      </c>
      <c r="C255">
        <v>0.253</v>
      </c>
      <c r="D255" t="s">
        <v>4203</v>
      </c>
    </row>
    <row r="256" spans="1:4" x14ac:dyDescent="0.25">
      <c r="A256" t="s">
        <v>2458</v>
      </c>
      <c r="B256" t="s">
        <v>3456</v>
      </c>
      <c r="C256">
        <v>0.254</v>
      </c>
      <c r="D256" t="s">
        <v>4203</v>
      </c>
    </row>
    <row r="257" spans="1:4" x14ac:dyDescent="0.25">
      <c r="A257" t="s">
        <v>2459</v>
      </c>
      <c r="B257" t="s">
        <v>3457</v>
      </c>
      <c r="C257">
        <v>0.255</v>
      </c>
      <c r="D257" t="s">
        <v>4203</v>
      </c>
    </row>
    <row r="258" spans="1:4" x14ac:dyDescent="0.25">
      <c r="A258" t="s">
        <v>2460</v>
      </c>
      <c r="B258" t="s">
        <v>3458</v>
      </c>
      <c r="C258">
        <v>0.25600000000000001</v>
      </c>
      <c r="D258" t="s">
        <v>4203</v>
      </c>
    </row>
    <row r="259" spans="1:4" x14ac:dyDescent="0.25">
      <c r="A259" t="s">
        <v>2461</v>
      </c>
      <c r="B259" t="s">
        <v>3459</v>
      </c>
      <c r="C259">
        <v>0.25700000000000001</v>
      </c>
      <c r="D259" t="s">
        <v>4203</v>
      </c>
    </row>
    <row r="260" spans="1:4" x14ac:dyDescent="0.25">
      <c r="A260" t="s">
        <v>2462</v>
      </c>
      <c r="B260" t="s">
        <v>3460</v>
      </c>
      <c r="C260">
        <v>0.25800000000000001</v>
      </c>
      <c r="D260" t="s">
        <v>4203</v>
      </c>
    </row>
    <row r="261" spans="1:4" x14ac:dyDescent="0.25">
      <c r="A261" t="s">
        <v>2463</v>
      </c>
      <c r="B261" t="s">
        <v>3461</v>
      </c>
      <c r="C261">
        <v>0.25900000000000001</v>
      </c>
      <c r="D261" t="s">
        <v>4203</v>
      </c>
    </row>
    <row r="262" spans="1:4" x14ac:dyDescent="0.25">
      <c r="A262" t="s">
        <v>2464</v>
      </c>
      <c r="B262" t="s">
        <v>3462</v>
      </c>
      <c r="C262">
        <v>0.26</v>
      </c>
      <c r="D262" t="s">
        <v>4203</v>
      </c>
    </row>
    <row r="263" spans="1:4" x14ac:dyDescent="0.25">
      <c r="A263" t="s">
        <v>2465</v>
      </c>
      <c r="B263" t="s">
        <v>3463</v>
      </c>
      <c r="C263">
        <v>0.26100000000000001</v>
      </c>
      <c r="D263" t="s">
        <v>4203</v>
      </c>
    </row>
    <row r="264" spans="1:4" x14ac:dyDescent="0.25">
      <c r="A264" t="s">
        <v>2466</v>
      </c>
      <c r="B264" t="s">
        <v>3464</v>
      </c>
      <c r="C264">
        <v>0.26200000000000001</v>
      </c>
      <c r="D264" t="s">
        <v>4203</v>
      </c>
    </row>
    <row r="265" spans="1:4" x14ac:dyDescent="0.25">
      <c r="A265" t="s">
        <v>2467</v>
      </c>
      <c r="B265" t="s">
        <v>3465</v>
      </c>
      <c r="C265">
        <v>0.26300000000000001</v>
      </c>
      <c r="D265" t="s">
        <v>4203</v>
      </c>
    </row>
    <row r="266" spans="1:4" x14ac:dyDescent="0.25">
      <c r="A266" t="s">
        <v>2468</v>
      </c>
      <c r="B266" t="s">
        <v>3466</v>
      </c>
      <c r="C266">
        <v>0.26400000000000001</v>
      </c>
      <c r="D266" t="s">
        <v>4203</v>
      </c>
    </row>
    <row r="267" spans="1:4" x14ac:dyDescent="0.25">
      <c r="A267" t="s">
        <v>2469</v>
      </c>
      <c r="B267" t="s">
        <v>3467</v>
      </c>
      <c r="C267">
        <v>0.26500000000000001</v>
      </c>
      <c r="D267" t="s">
        <v>4203</v>
      </c>
    </row>
    <row r="268" spans="1:4" x14ac:dyDescent="0.25">
      <c r="A268" t="s">
        <v>2470</v>
      </c>
      <c r="B268" t="s">
        <v>3468</v>
      </c>
      <c r="C268">
        <v>0.26600000000000001</v>
      </c>
      <c r="D268" t="s">
        <v>4203</v>
      </c>
    </row>
    <row r="269" spans="1:4" x14ac:dyDescent="0.25">
      <c r="A269" t="s">
        <v>2471</v>
      </c>
      <c r="B269" t="s">
        <v>3469</v>
      </c>
      <c r="C269">
        <v>0.26700000000000002</v>
      </c>
      <c r="D269" t="s">
        <v>4203</v>
      </c>
    </row>
    <row r="270" spans="1:4" x14ac:dyDescent="0.25">
      <c r="A270" t="s">
        <v>2472</v>
      </c>
      <c r="B270" t="s">
        <v>3470</v>
      </c>
      <c r="C270">
        <v>0.26800000000000002</v>
      </c>
      <c r="D270" t="s">
        <v>4203</v>
      </c>
    </row>
    <row r="271" spans="1:4" x14ac:dyDescent="0.25">
      <c r="A271" t="s">
        <v>2473</v>
      </c>
      <c r="B271" t="s">
        <v>3471</v>
      </c>
      <c r="C271">
        <v>0.26900000000000002</v>
      </c>
      <c r="D271" t="s">
        <v>4203</v>
      </c>
    </row>
    <row r="272" spans="1:4" x14ac:dyDescent="0.25">
      <c r="A272" t="s">
        <v>2474</v>
      </c>
      <c r="B272" t="s">
        <v>3472</v>
      </c>
      <c r="C272">
        <v>0.27</v>
      </c>
      <c r="D272" t="s">
        <v>4203</v>
      </c>
    </row>
    <row r="273" spans="1:4" x14ac:dyDescent="0.25">
      <c r="A273" t="s">
        <v>2475</v>
      </c>
      <c r="B273" t="s">
        <v>3473</v>
      </c>
      <c r="C273">
        <v>0.27100000000000002</v>
      </c>
      <c r="D273" t="s">
        <v>4203</v>
      </c>
    </row>
    <row r="274" spans="1:4" x14ac:dyDescent="0.25">
      <c r="A274" t="s">
        <v>2476</v>
      </c>
      <c r="B274" t="s">
        <v>3474</v>
      </c>
      <c r="C274">
        <v>0.27200000000000002</v>
      </c>
      <c r="D274" t="s">
        <v>4203</v>
      </c>
    </row>
    <row r="275" spans="1:4" x14ac:dyDescent="0.25">
      <c r="A275" t="s">
        <v>2477</v>
      </c>
      <c r="B275" t="s">
        <v>3475</v>
      </c>
      <c r="C275">
        <v>0.27300000000000002</v>
      </c>
      <c r="D275" t="s">
        <v>4203</v>
      </c>
    </row>
    <row r="276" spans="1:4" x14ac:dyDescent="0.25">
      <c r="A276" t="s">
        <v>2478</v>
      </c>
      <c r="B276" t="s">
        <v>3476</v>
      </c>
      <c r="C276">
        <v>0.27400000000000002</v>
      </c>
      <c r="D276" t="s">
        <v>4203</v>
      </c>
    </row>
    <row r="277" spans="1:4" x14ac:dyDescent="0.25">
      <c r="A277" t="s">
        <v>2479</v>
      </c>
      <c r="B277" t="s">
        <v>3477</v>
      </c>
      <c r="C277">
        <v>0.27500000000000002</v>
      </c>
      <c r="D277" t="s">
        <v>4203</v>
      </c>
    </row>
    <row r="278" spans="1:4" x14ac:dyDescent="0.25">
      <c r="A278" t="s">
        <v>2480</v>
      </c>
      <c r="B278" t="s">
        <v>3478</v>
      </c>
      <c r="C278">
        <v>0.27600000000000002</v>
      </c>
      <c r="D278" t="s">
        <v>4203</v>
      </c>
    </row>
    <row r="279" spans="1:4" x14ac:dyDescent="0.25">
      <c r="A279" t="s">
        <v>2481</v>
      </c>
      <c r="B279" t="s">
        <v>3479</v>
      </c>
      <c r="C279">
        <v>0.27700000000000002</v>
      </c>
      <c r="D279" t="s">
        <v>4203</v>
      </c>
    </row>
    <row r="280" spans="1:4" x14ac:dyDescent="0.25">
      <c r="A280" t="s">
        <v>2482</v>
      </c>
      <c r="B280" t="s">
        <v>3480</v>
      </c>
      <c r="C280">
        <v>0.27800000000000002</v>
      </c>
      <c r="D280" t="s">
        <v>4203</v>
      </c>
    </row>
    <row r="281" spans="1:4" x14ac:dyDescent="0.25">
      <c r="A281" t="s">
        <v>2483</v>
      </c>
      <c r="B281" t="s">
        <v>3481</v>
      </c>
      <c r="C281">
        <v>0.27900000000000003</v>
      </c>
      <c r="D281" t="s">
        <v>4203</v>
      </c>
    </row>
    <row r="282" spans="1:4" x14ac:dyDescent="0.25">
      <c r="A282" t="s">
        <v>2484</v>
      </c>
      <c r="B282" t="s">
        <v>3482</v>
      </c>
      <c r="C282">
        <v>0.28000000000000003</v>
      </c>
      <c r="D282" t="s">
        <v>4203</v>
      </c>
    </row>
    <row r="283" spans="1:4" x14ac:dyDescent="0.25">
      <c r="A283" t="s">
        <v>2485</v>
      </c>
      <c r="B283" t="s">
        <v>3483</v>
      </c>
      <c r="C283">
        <v>0.28100000000000003</v>
      </c>
      <c r="D283" t="s">
        <v>4203</v>
      </c>
    </row>
    <row r="284" spans="1:4" x14ac:dyDescent="0.25">
      <c r="A284" t="s">
        <v>2486</v>
      </c>
      <c r="B284" t="s">
        <v>3484</v>
      </c>
      <c r="C284">
        <v>0.28199999999999997</v>
      </c>
      <c r="D284" t="s">
        <v>4203</v>
      </c>
    </row>
    <row r="285" spans="1:4" x14ac:dyDescent="0.25">
      <c r="A285" t="s">
        <v>2487</v>
      </c>
      <c r="B285" t="s">
        <v>3485</v>
      </c>
      <c r="C285">
        <v>0.28299999999999997</v>
      </c>
      <c r="D285" t="s">
        <v>4203</v>
      </c>
    </row>
    <row r="286" spans="1:4" x14ac:dyDescent="0.25">
      <c r="A286" t="s">
        <v>2488</v>
      </c>
      <c r="B286" t="s">
        <v>3486</v>
      </c>
      <c r="C286">
        <v>0.28399999999999997</v>
      </c>
      <c r="D286" t="s">
        <v>4203</v>
      </c>
    </row>
    <row r="287" spans="1:4" x14ac:dyDescent="0.25">
      <c r="A287" t="s">
        <v>2489</v>
      </c>
      <c r="B287" t="s">
        <v>3487</v>
      </c>
      <c r="C287">
        <v>0.28499999999999998</v>
      </c>
      <c r="D287" t="s">
        <v>4203</v>
      </c>
    </row>
    <row r="288" spans="1:4" x14ac:dyDescent="0.25">
      <c r="A288" t="s">
        <v>2490</v>
      </c>
      <c r="B288" t="s">
        <v>3488</v>
      </c>
      <c r="C288">
        <v>0.28599999999999998</v>
      </c>
      <c r="D288" t="s">
        <v>4203</v>
      </c>
    </row>
    <row r="289" spans="1:4" x14ac:dyDescent="0.25">
      <c r="A289" t="s">
        <v>2491</v>
      </c>
      <c r="B289" t="s">
        <v>3489</v>
      </c>
      <c r="C289">
        <v>0.28699999999999998</v>
      </c>
      <c r="D289" t="s">
        <v>4203</v>
      </c>
    </row>
    <row r="290" spans="1:4" x14ac:dyDescent="0.25">
      <c r="A290" t="s">
        <v>2492</v>
      </c>
      <c r="B290" t="s">
        <v>3490</v>
      </c>
      <c r="C290">
        <v>0.28799999999999998</v>
      </c>
      <c r="D290" t="s">
        <v>4203</v>
      </c>
    </row>
    <row r="291" spans="1:4" x14ac:dyDescent="0.25">
      <c r="A291" t="s">
        <v>2493</v>
      </c>
      <c r="B291" t="s">
        <v>3491</v>
      </c>
      <c r="C291">
        <v>0.28899999999999998</v>
      </c>
      <c r="D291" t="s">
        <v>4203</v>
      </c>
    </row>
    <row r="292" spans="1:4" x14ac:dyDescent="0.25">
      <c r="A292" t="s">
        <v>2494</v>
      </c>
      <c r="B292" t="s">
        <v>3492</v>
      </c>
      <c r="C292">
        <v>0.28999999999999998</v>
      </c>
      <c r="D292" t="s">
        <v>4203</v>
      </c>
    </row>
    <row r="293" spans="1:4" x14ac:dyDescent="0.25">
      <c r="A293" t="s">
        <v>2495</v>
      </c>
      <c r="B293" t="s">
        <v>3493</v>
      </c>
      <c r="C293">
        <v>0.29099999999999998</v>
      </c>
      <c r="D293" t="s">
        <v>4203</v>
      </c>
    </row>
    <row r="294" spans="1:4" x14ac:dyDescent="0.25">
      <c r="A294" t="s">
        <v>2496</v>
      </c>
      <c r="B294" t="s">
        <v>3494</v>
      </c>
      <c r="C294">
        <v>0.29199999999999998</v>
      </c>
      <c r="D294" t="s">
        <v>4203</v>
      </c>
    </row>
    <row r="295" spans="1:4" x14ac:dyDescent="0.25">
      <c r="A295" t="s">
        <v>2497</v>
      </c>
      <c r="B295" t="s">
        <v>3495</v>
      </c>
      <c r="C295">
        <v>0.29299999999999998</v>
      </c>
      <c r="D295" t="s">
        <v>4203</v>
      </c>
    </row>
    <row r="296" spans="1:4" x14ac:dyDescent="0.25">
      <c r="A296" t="s">
        <v>2498</v>
      </c>
      <c r="B296" t="s">
        <v>3496</v>
      </c>
      <c r="C296">
        <v>0.29399999999999998</v>
      </c>
      <c r="D296" t="s">
        <v>4203</v>
      </c>
    </row>
    <row r="297" spans="1:4" x14ac:dyDescent="0.25">
      <c r="A297" t="s">
        <v>2499</v>
      </c>
      <c r="B297" t="s">
        <v>3497</v>
      </c>
      <c r="C297">
        <v>0.29499999999999998</v>
      </c>
      <c r="D297" t="s">
        <v>4203</v>
      </c>
    </row>
    <row r="298" spans="1:4" x14ac:dyDescent="0.25">
      <c r="A298" t="s">
        <v>2500</v>
      </c>
      <c r="B298" t="s">
        <v>3498</v>
      </c>
      <c r="C298">
        <v>0.29599999999999999</v>
      </c>
      <c r="D298" t="s">
        <v>4203</v>
      </c>
    </row>
    <row r="299" spans="1:4" x14ac:dyDescent="0.25">
      <c r="A299" t="s">
        <v>2501</v>
      </c>
      <c r="B299" t="s">
        <v>3499</v>
      </c>
      <c r="C299">
        <v>0.29699999999999999</v>
      </c>
      <c r="D299" t="s">
        <v>4203</v>
      </c>
    </row>
    <row r="300" spans="1:4" x14ac:dyDescent="0.25">
      <c r="A300" t="s">
        <v>2502</v>
      </c>
      <c r="B300" t="s">
        <v>3500</v>
      </c>
      <c r="C300">
        <v>0.29799999999999999</v>
      </c>
      <c r="D300" t="s">
        <v>4203</v>
      </c>
    </row>
    <row r="301" spans="1:4" x14ac:dyDescent="0.25">
      <c r="A301" t="s">
        <v>2503</v>
      </c>
      <c r="B301" t="s">
        <v>3501</v>
      </c>
      <c r="C301">
        <v>0.29899999999999999</v>
      </c>
      <c r="D301" t="s">
        <v>4203</v>
      </c>
    </row>
    <row r="302" spans="1:4" x14ac:dyDescent="0.25">
      <c r="A302" t="s">
        <v>2504</v>
      </c>
      <c r="B302" t="s">
        <v>3502</v>
      </c>
      <c r="C302">
        <v>0.3</v>
      </c>
      <c r="D302" t="s">
        <v>4203</v>
      </c>
    </row>
    <row r="303" spans="1:4" x14ac:dyDescent="0.25">
      <c r="A303" t="s">
        <v>2505</v>
      </c>
      <c r="B303" t="s">
        <v>3503</v>
      </c>
      <c r="C303">
        <v>0.30099999999999999</v>
      </c>
      <c r="D303" t="s">
        <v>4203</v>
      </c>
    </row>
    <row r="304" spans="1:4" x14ac:dyDescent="0.25">
      <c r="A304" t="s">
        <v>2506</v>
      </c>
      <c r="B304" t="s">
        <v>3504</v>
      </c>
      <c r="C304">
        <v>0.30199999999999999</v>
      </c>
      <c r="D304" t="s">
        <v>4203</v>
      </c>
    </row>
    <row r="305" spans="1:4" x14ac:dyDescent="0.25">
      <c r="A305" t="s">
        <v>2507</v>
      </c>
      <c r="B305" t="s">
        <v>3505</v>
      </c>
      <c r="C305">
        <v>0.30299999999999999</v>
      </c>
      <c r="D305" t="s">
        <v>4203</v>
      </c>
    </row>
    <row r="306" spans="1:4" x14ac:dyDescent="0.25">
      <c r="A306" t="s">
        <v>2508</v>
      </c>
      <c r="B306" t="s">
        <v>3506</v>
      </c>
      <c r="C306">
        <v>0.30399999999999999</v>
      </c>
      <c r="D306" t="s">
        <v>4203</v>
      </c>
    </row>
    <row r="307" spans="1:4" x14ac:dyDescent="0.25">
      <c r="A307" t="s">
        <v>2509</v>
      </c>
      <c r="B307" t="s">
        <v>3507</v>
      </c>
      <c r="C307">
        <v>0.30499999999999999</v>
      </c>
      <c r="D307" t="s">
        <v>4203</v>
      </c>
    </row>
    <row r="308" spans="1:4" x14ac:dyDescent="0.25">
      <c r="A308" t="s">
        <v>2510</v>
      </c>
      <c r="B308" t="s">
        <v>3508</v>
      </c>
      <c r="C308">
        <v>0.30599999999999999</v>
      </c>
      <c r="D308" t="s">
        <v>4203</v>
      </c>
    </row>
    <row r="309" spans="1:4" x14ac:dyDescent="0.25">
      <c r="A309" t="s">
        <v>2511</v>
      </c>
      <c r="B309" t="s">
        <v>3509</v>
      </c>
      <c r="C309">
        <v>0.307</v>
      </c>
      <c r="D309" t="s">
        <v>4203</v>
      </c>
    </row>
    <row r="310" spans="1:4" x14ac:dyDescent="0.25">
      <c r="A310" t="s">
        <v>2512</v>
      </c>
      <c r="B310" t="s">
        <v>3510</v>
      </c>
      <c r="C310">
        <v>0.308</v>
      </c>
      <c r="D310" t="s">
        <v>4203</v>
      </c>
    </row>
    <row r="311" spans="1:4" x14ac:dyDescent="0.25">
      <c r="A311" t="s">
        <v>2513</v>
      </c>
      <c r="B311" t="s">
        <v>3511</v>
      </c>
      <c r="C311">
        <v>0.309</v>
      </c>
      <c r="D311" t="s">
        <v>4203</v>
      </c>
    </row>
    <row r="312" spans="1:4" x14ac:dyDescent="0.25">
      <c r="A312" t="s">
        <v>2514</v>
      </c>
      <c r="B312" t="s">
        <v>3512</v>
      </c>
      <c r="C312">
        <v>0.31</v>
      </c>
      <c r="D312" t="s">
        <v>4203</v>
      </c>
    </row>
    <row r="313" spans="1:4" x14ac:dyDescent="0.25">
      <c r="A313" t="s">
        <v>2515</v>
      </c>
      <c r="B313" t="s">
        <v>3513</v>
      </c>
      <c r="C313">
        <v>0.311</v>
      </c>
      <c r="D313" t="s">
        <v>4203</v>
      </c>
    </row>
    <row r="314" spans="1:4" x14ac:dyDescent="0.25">
      <c r="A314" t="s">
        <v>2516</v>
      </c>
      <c r="B314" t="s">
        <v>3514</v>
      </c>
      <c r="C314">
        <v>0.312</v>
      </c>
      <c r="D314" t="s">
        <v>4203</v>
      </c>
    </row>
    <row r="315" spans="1:4" x14ac:dyDescent="0.25">
      <c r="A315" t="s">
        <v>2517</v>
      </c>
      <c r="B315" t="s">
        <v>3515</v>
      </c>
      <c r="C315">
        <v>0.313</v>
      </c>
      <c r="D315" t="s">
        <v>4203</v>
      </c>
    </row>
    <row r="316" spans="1:4" x14ac:dyDescent="0.25">
      <c r="A316" t="s">
        <v>2518</v>
      </c>
      <c r="B316" t="s">
        <v>3516</v>
      </c>
      <c r="C316">
        <v>0.314</v>
      </c>
      <c r="D316" t="s">
        <v>4203</v>
      </c>
    </row>
    <row r="317" spans="1:4" x14ac:dyDescent="0.25">
      <c r="A317" t="s">
        <v>2519</v>
      </c>
      <c r="B317" t="s">
        <v>3517</v>
      </c>
      <c r="C317">
        <v>0.315</v>
      </c>
      <c r="D317" t="s">
        <v>4203</v>
      </c>
    </row>
    <row r="318" spans="1:4" x14ac:dyDescent="0.25">
      <c r="A318" t="s">
        <v>2520</v>
      </c>
      <c r="B318" t="s">
        <v>3518</v>
      </c>
      <c r="C318">
        <v>0.316</v>
      </c>
      <c r="D318" t="s">
        <v>4203</v>
      </c>
    </row>
    <row r="319" spans="1:4" x14ac:dyDescent="0.25">
      <c r="A319" t="s">
        <v>2521</v>
      </c>
      <c r="B319" t="s">
        <v>3519</v>
      </c>
      <c r="C319">
        <v>0.317</v>
      </c>
      <c r="D319" t="s">
        <v>4203</v>
      </c>
    </row>
    <row r="320" spans="1:4" x14ac:dyDescent="0.25">
      <c r="A320" t="s">
        <v>2522</v>
      </c>
      <c r="B320" t="s">
        <v>3520</v>
      </c>
      <c r="C320">
        <v>0.318</v>
      </c>
      <c r="D320" t="s">
        <v>4203</v>
      </c>
    </row>
    <row r="321" spans="1:4" x14ac:dyDescent="0.25">
      <c r="A321" t="s">
        <v>2523</v>
      </c>
      <c r="B321" t="s">
        <v>3521</v>
      </c>
      <c r="C321">
        <v>0.31900000000000001</v>
      </c>
      <c r="D321" t="s">
        <v>4203</v>
      </c>
    </row>
    <row r="322" spans="1:4" x14ac:dyDescent="0.25">
      <c r="A322" t="s">
        <v>2524</v>
      </c>
      <c r="B322" t="s">
        <v>3522</v>
      </c>
      <c r="C322">
        <v>0.32</v>
      </c>
      <c r="D322" t="s">
        <v>4203</v>
      </c>
    </row>
    <row r="323" spans="1:4" x14ac:dyDescent="0.25">
      <c r="A323" t="s">
        <v>2525</v>
      </c>
      <c r="B323" t="s">
        <v>3523</v>
      </c>
      <c r="C323">
        <v>0.32100000000000001</v>
      </c>
      <c r="D323" t="s">
        <v>4203</v>
      </c>
    </row>
    <row r="324" spans="1:4" x14ac:dyDescent="0.25">
      <c r="A324" t="s">
        <v>2526</v>
      </c>
      <c r="B324" t="s">
        <v>3524</v>
      </c>
      <c r="C324">
        <v>0.32200000000000001</v>
      </c>
      <c r="D324" t="s">
        <v>4203</v>
      </c>
    </row>
    <row r="325" spans="1:4" x14ac:dyDescent="0.25">
      <c r="A325" t="s">
        <v>2527</v>
      </c>
      <c r="B325" t="s">
        <v>3525</v>
      </c>
      <c r="C325">
        <v>0.32300000000000001</v>
      </c>
      <c r="D325" t="s">
        <v>4203</v>
      </c>
    </row>
    <row r="326" spans="1:4" x14ac:dyDescent="0.25">
      <c r="A326" t="s">
        <v>2528</v>
      </c>
      <c r="B326" t="s">
        <v>3526</v>
      </c>
      <c r="C326">
        <v>0.32400000000000001</v>
      </c>
      <c r="D326" t="s">
        <v>4203</v>
      </c>
    </row>
    <row r="327" spans="1:4" x14ac:dyDescent="0.25">
      <c r="A327" t="s">
        <v>2529</v>
      </c>
      <c r="B327" t="s">
        <v>3527</v>
      </c>
      <c r="C327">
        <v>0.32500000000000001</v>
      </c>
      <c r="D327" t="s">
        <v>4203</v>
      </c>
    </row>
    <row r="328" spans="1:4" x14ac:dyDescent="0.25">
      <c r="A328" t="s">
        <v>2530</v>
      </c>
      <c r="B328" t="s">
        <v>3528</v>
      </c>
      <c r="C328">
        <v>0.32600000000000001</v>
      </c>
      <c r="D328" t="s">
        <v>4203</v>
      </c>
    </row>
    <row r="329" spans="1:4" x14ac:dyDescent="0.25">
      <c r="A329" t="s">
        <v>2531</v>
      </c>
      <c r="B329" t="s">
        <v>3529</v>
      </c>
      <c r="C329">
        <v>0.32700000000000001</v>
      </c>
      <c r="D329" t="s">
        <v>4203</v>
      </c>
    </row>
    <row r="330" spans="1:4" x14ac:dyDescent="0.25">
      <c r="A330" t="s">
        <v>2532</v>
      </c>
      <c r="B330" t="s">
        <v>3530</v>
      </c>
      <c r="C330">
        <v>0.32800000000000001</v>
      </c>
      <c r="D330" t="s">
        <v>4203</v>
      </c>
    </row>
    <row r="331" spans="1:4" x14ac:dyDescent="0.25">
      <c r="A331" t="s">
        <v>2533</v>
      </c>
      <c r="B331" t="s">
        <v>3531</v>
      </c>
      <c r="C331">
        <v>0.32900000000000001</v>
      </c>
      <c r="D331" t="s">
        <v>4203</v>
      </c>
    </row>
    <row r="332" spans="1:4" x14ac:dyDescent="0.25">
      <c r="A332" t="s">
        <v>2534</v>
      </c>
      <c r="B332" t="s">
        <v>3532</v>
      </c>
      <c r="C332">
        <v>0.33</v>
      </c>
      <c r="D332" t="s">
        <v>4203</v>
      </c>
    </row>
    <row r="333" spans="1:4" x14ac:dyDescent="0.25">
      <c r="A333" t="s">
        <v>2535</v>
      </c>
      <c r="B333" t="s">
        <v>3533</v>
      </c>
      <c r="C333">
        <v>0.33100000000000002</v>
      </c>
      <c r="D333" t="s">
        <v>4203</v>
      </c>
    </row>
    <row r="334" spans="1:4" x14ac:dyDescent="0.25">
      <c r="A334" t="s">
        <v>2536</v>
      </c>
      <c r="B334" t="s">
        <v>3534</v>
      </c>
      <c r="C334">
        <v>0.33200000000000002</v>
      </c>
      <c r="D334" t="s">
        <v>4203</v>
      </c>
    </row>
    <row r="335" spans="1:4" x14ac:dyDescent="0.25">
      <c r="A335" t="s">
        <v>2537</v>
      </c>
      <c r="B335" t="s">
        <v>3535</v>
      </c>
      <c r="C335">
        <v>0.33300000000000002</v>
      </c>
      <c r="D335" t="s">
        <v>4203</v>
      </c>
    </row>
    <row r="336" spans="1:4" x14ac:dyDescent="0.25">
      <c r="A336" t="s">
        <v>2538</v>
      </c>
      <c r="B336" t="s">
        <v>3536</v>
      </c>
      <c r="C336">
        <v>0.33400000000000002</v>
      </c>
      <c r="D336" t="s">
        <v>4203</v>
      </c>
    </row>
    <row r="337" spans="1:4" x14ac:dyDescent="0.25">
      <c r="A337" t="s">
        <v>2539</v>
      </c>
      <c r="B337" t="s">
        <v>3537</v>
      </c>
      <c r="C337">
        <v>0.33500000000000002</v>
      </c>
      <c r="D337" t="s">
        <v>4203</v>
      </c>
    </row>
    <row r="338" spans="1:4" x14ac:dyDescent="0.25">
      <c r="A338" t="s">
        <v>2540</v>
      </c>
      <c r="B338" t="s">
        <v>3538</v>
      </c>
      <c r="C338">
        <v>0.33600000000000002</v>
      </c>
      <c r="D338" t="s">
        <v>4203</v>
      </c>
    </row>
    <row r="339" spans="1:4" x14ac:dyDescent="0.25">
      <c r="A339" t="s">
        <v>2541</v>
      </c>
      <c r="B339" t="s">
        <v>3539</v>
      </c>
      <c r="C339">
        <v>0.33700000000000002</v>
      </c>
      <c r="D339" t="s">
        <v>4203</v>
      </c>
    </row>
    <row r="340" spans="1:4" x14ac:dyDescent="0.25">
      <c r="A340" t="s">
        <v>2542</v>
      </c>
      <c r="B340" t="s">
        <v>3540</v>
      </c>
      <c r="C340">
        <v>0.33800000000000002</v>
      </c>
      <c r="D340" t="s">
        <v>4203</v>
      </c>
    </row>
    <row r="341" spans="1:4" x14ac:dyDescent="0.25">
      <c r="A341" t="s">
        <v>2543</v>
      </c>
      <c r="B341" t="s">
        <v>3541</v>
      </c>
      <c r="C341">
        <v>0.33900000000000002</v>
      </c>
      <c r="D341" t="s">
        <v>4203</v>
      </c>
    </row>
    <row r="342" spans="1:4" x14ac:dyDescent="0.25">
      <c r="A342" t="s">
        <v>2544</v>
      </c>
      <c r="B342" t="s">
        <v>3542</v>
      </c>
      <c r="C342">
        <v>0.34</v>
      </c>
      <c r="D342" t="s">
        <v>4203</v>
      </c>
    </row>
    <row r="343" spans="1:4" x14ac:dyDescent="0.25">
      <c r="A343" t="s">
        <v>2545</v>
      </c>
      <c r="B343" t="s">
        <v>3543</v>
      </c>
      <c r="C343">
        <v>0.34100000000000003</v>
      </c>
      <c r="D343" t="s">
        <v>4203</v>
      </c>
    </row>
    <row r="344" spans="1:4" x14ac:dyDescent="0.25">
      <c r="A344" t="s">
        <v>2546</v>
      </c>
      <c r="B344" t="s">
        <v>3544</v>
      </c>
      <c r="C344">
        <v>0.34200000000000003</v>
      </c>
      <c r="D344" t="s">
        <v>4203</v>
      </c>
    </row>
    <row r="345" spans="1:4" x14ac:dyDescent="0.25">
      <c r="A345" t="s">
        <v>2547</v>
      </c>
      <c r="B345" t="s">
        <v>3545</v>
      </c>
      <c r="C345">
        <v>0.34300000000000003</v>
      </c>
      <c r="D345" t="s">
        <v>4203</v>
      </c>
    </row>
    <row r="346" spans="1:4" x14ac:dyDescent="0.25">
      <c r="A346" t="s">
        <v>2548</v>
      </c>
      <c r="B346" t="s">
        <v>3546</v>
      </c>
      <c r="C346">
        <v>0.34399999999999997</v>
      </c>
      <c r="D346" t="s">
        <v>4203</v>
      </c>
    </row>
    <row r="347" spans="1:4" x14ac:dyDescent="0.25">
      <c r="A347" t="s">
        <v>2549</v>
      </c>
      <c r="B347" t="s">
        <v>3547</v>
      </c>
      <c r="C347">
        <v>0.34499999999999997</v>
      </c>
      <c r="D347" t="s">
        <v>4203</v>
      </c>
    </row>
    <row r="348" spans="1:4" x14ac:dyDescent="0.25">
      <c r="A348" t="s">
        <v>2550</v>
      </c>
      <c r="B348" t="s">
        <v>3548</v>
      </c>
      <c r="C348">
        <v>0.34599999999999997</v>
      </c>
      <c r="D348" t="s">
        <v>4203</v>
      </c>
    </row>
    <row r="349" spans="1:4" x14ac:dyDescent="0.25">
      <c r="A349" t="s">
        <v>2551</v>
      </c>
      <c r="B349" t="s">
        <v>3549</v>
      </c>
      <c r="C349">
        <v>0.34699999999999998</v>
      </c>
      <c r="D349" t="s">
        <v>4203</v>
      </c>
    </row>
    <row r="350" spans="1:4" x14ac:dyDescent="0.25">
      <c r="A350" t="s">
        <v>2552</v>
      </c>
      <c r="B350" t="s">
        <v>3550</v>
      </c>
      <c r="C350">
        <v>0.34799999999999998</v>
      </c>
      <c r="D350" t="s">
        <v>4203</v>
      </c>
    </row>
    <row r="351" spans="1:4" x14ac:dyDescent="0.25">
      <c r="A351" t="s">
        <v>2553</v>
      </c>
      <c r="B351" t="s">
        <v>3551</v>
      </c>
      <c r="C351">
        <v>0.34899999999999998</v>
      </c>
      <c r="D351" t="s">
        <v>4203</v>
      </c>
    </row>
    <row r="352" spans="1:4" x14ac:dyDescent="0.25">
      <c r="A352" t="s">
        <v>2554</v>
      </c>
      <c r="B352" t="s">
        <v>3552</v>
      </c>
      <c r="C352">
        <v>0.35</v>
      </c>
      <c r="D352" t="s">
        <v>4203</v>
      </c>
    </row>
    <row r="353" spans="1:4" x14ac:dyDescent="0.25">
      <c r="A353" t="s">
        <v>2555</v>
      </c>
      <c r="B353" t="s">
        <v>3553</v>
      </c>
      <c r="C353">
        <v>0.35099999999999998</v>
      </c>
      <c r="D353" t="s">
        <v>4203</v>
      </c>
    </row>
    <row r="354" spans="1:4" x14ac:dyDescent="0.25">
      <c r="A354" t="s">
        <v>2556</v>
      </c>
      <c r="B354" t="s">
        <v>3554</v>
      </c>
      <c r="C354">
        <v>0.35199999999999998</v>
      </c>
      <c r="D354" t="s">
        <v>4203</v>
      </c>
    </row>
    <row r="355" spans="1:4" x14ac:dyDescent="0.25">
      <c r="A355" t="s">
        <v>2557</v>
      </c>
      <c r="B355" t="s">
        <v>3555</v>
      </c>
      <c r="C355">
        <v>0.35299999999999998</v>
      </c>
      <c r="D355" t="s">
        <v>4203</v>
      </c>
    </row>
    <row r="356" spans="1:4" x14ac:dyDescent="0.25">
      <c r="A356" t="s">
        <v>2558</v>
      </c>
      <c r="B356" t="s">
        <v>3556</v>
      </c>
      <c r="C356">
        <v>0.35399999999999998</v>
      </c>
      <c r="D356" t="s">
        <v>4203</v>
      </c>
    </row>
    <row r="357" spans="1:4" x14ac:dyDescent="0.25">
      <c r="A357" t="s">
        <v>2559</v>
      </c>
      <c r="B357" t="s">
        <v>3557</v>
      </c>
      <c r="C357">
        <v>0.35499999999999998</v>
      </c>
      <c r="D357" t="s">
        <v>4203</v>
      </c>
    </row>
    <row r="358" spans="1:4" x14ac:dyDescent="0.25">
      <c r="A358" t="s">
        <v>2560</v>
      </c>
      <c r="B358" t="s">
        <v>3558</v>
      </c>
      <c r="C358">
        <v>0.35599999999999998</v>
      </c>
      <c r="D358" t="s">
        <v>4203</v>
      </c>
    </row>
    <row r="359" spans="1:4" x14ac:dyDescent="0.25">
      <c r="A359" t="s">
        <v>2561</v>
      </c>
      <c r="B359" t="s">
        <v>3559</v>
      </c>
      <c r="C359">
        <v>0.35699999999999998</v>
      </c>
      <c r="D359" t="s">
        <v>4203</v>
      </c>
    </row>
    <row r="360" spans="1:4" x14ac:dyDescent="0.25">
      <c r="A360" t="s">
        <v>2562</v>
      </c>
      <c r="B360" t="s">
        <v>3560</v>
      </c>
      <c r="C360">
        <v>0.35799999999999998</v>
      </c>
      <c r="D360" t="s">
        <v>4203</v>
      </c>
    </row>
    <row r="361" spans="1:4" x14ac:dyDescent="0.25">
      <c r="A361" t="s">
        <v>2563</v>
      </c>
      <c r="B361" t="s">
        <v>3561</v>
      </c>
      <c r="C361">
        <v>0.35899999999999999</v>
      </c>
      <c r="D361" t="s">
        <v>4203</v>
      </c>
    </row>
    <row r="362" spans="1:4" x14ac:dyDescent="0.25">
      <c r="A362" t="s">
        <v>2564</v>
      </c>
      <c r="B362" t="s">
        <v>3562</v>
      </c>
      <c r="C362">
        <v>0.36</v>
      </c>
      <c r="D362" t="s">
        <v>4203</v>
      </c>
    </row>
    <row r="363" spans="1:4" x14ac:dyDescent="0.25">
      <c r="A363" t="s">
        <v>2565</v>
      </c>
      <c r="B363" t="s">
        <v>3563</v>
      </c>
      <c r="C363">
        <v>0.36099999999999999</v>
      </c>
      <c r="D363" t="s">
        <v>4203</v>
      </c>
    </row>
    <row r="364" spans="1:4" x14ac:dyDescent="0.25">
      <c r="A364" t="s">
        <v>2566</v>
      </c>
      <c r="B364" t="s">
        <v>3564</v>
      </c>
      <c r="C364">
        <v>0.36199999999999999</v>
      </c>
      <c r="D364" t="s">
        <v>4203</v>
      </c>
    </row>
    <row r="365" spans="1:4" x14ac:dyDescent="0.25">
      <c r="A365" t="s">
        <v>2567</v>
      </c>
      <c r="B365" t="s">
        <v>3565</v>
      </c>
      <c r="C365">
        <v>0.36299999999999999</v>
      </c>
      <c r="D365" t="s">
        <v>4203</v>
      </c>
    </row>
    <row r="366" spans="1:4" x14ac:dyDescent="0.25">
      <c r="A366" t="s">
        <v>2568</v>
      </c>
      <c r="B366" t="s">
        <v>3566</v>
      </c>
      <c r="C366">
        <v>0.36399999999999999</v>
      </c>
      <c r="D366" t="s">
        <v>4203</v>
      </c>
    </row>
    <row r="367" spans="1:4" x14ac:dyDescent="0.25">
      <c r="A367" t="s">
        <v>2569</v>
      </c>
      <c r="B367" t="s">
        <v>3567</v>
      </c>
      <c r="C367">
        <v>0.36499999999999999</v>
      </c>
      <c r="D367" t="s">
        <v>4203</v>
      </c>
    </row>
    <row r="368" spans="1:4" x14ac:dyDescent="0.25">
      <c r="A368" t="s">
        <v>2570</v>
      </c>
      <c r="B368" t="s">
        <v>3568</v>
      </c>
      <c r="C368">
        <v>0.36599999999999999</v>
      </c>
      <c r="D368" t="s">
        <v>4203</v>
      </c>
    </row>
    <row r="369" spans="1:4" x14ac:dyDescent="0.25">
      <c r="A369" t="s">
        <v>2571</v>
      </c>
      <c r="B369" t="s">
        <v>3569</v>
      </c>
      <c r="C369">
        <v>0.36699999999999999</v>
      </c>
      <c r="D369" t="s">
        <v>4203</v>
      </c>
    </row>
    <row r="370" spans="1:4" x14ac:dyDescent="0.25">
      <c r="A370" t="s">
        <v>2572</v>
      </c>
      <c r="B370" t="s">
        <v>3570</v>
      </c>
      <c r="C370">
        <v>0.36799999999999999</v>
      </c>
      <c r="D370" t="s">
        <v>4203</v>
      </c>
    </row>
    <row r="371" spans="1:4" x14ac:dyDescent="0.25">
      <c r="A371" t="s">
        <v>2573</v>
      </c>
      <c r="B371" t="s">
        <v>3571</v>
      </c>
      <c r="C371">
        <v>0.36899999999999999</v>
      </c>
      <c r="D371" t="s">
        <v>4203</v>
      </c>
    </row>
    <row r="372" spans="1:4" x14ac:dyDescent="0.25">
      <c r="A372" t="s">
        <v>2574</v>
      </c>
      <c r="B372" t="s">
        <v>3572</v>
      </c>
      <c r="C372">
        <v>0.37</v>
      </c>
      <c r="D372" t="s">
        <v>4203</v>
      </c>
    </row>
    <row r="373" spans="1:4" x14ac:dyDescent="0.25">
      <c r="A373" t="s">
        <v>2575</v>
      </c>
      <c r="B373" t="s">
        <v>3573</v>
      </c>
      <c r="C373">
        <v>0.371</v>
      </c>
      <c r="D373" t="s">
        <v>4203</v>
      </c>
    </row>
    <row r="374" spans="1:4" x14ac:dyDescent="0.25">
      <c r="A374" t="s">
        <v>2576</v>
      </c>
      <c r="B374" t="s">
        <v>3574</v>
      </c>
      <c r="C374">
        <v>0.372</v>
      </c>
      <c r="D374" t="s">
        <v>4203</v>
      </c>
    </row>
    <row r="375" spans="1:4" x14ac:dyDescent="0.25">
      <c r="A375" t="s">
        <v>2577</v>
      </c>
      <c r="B375" t="s">
        <v>3575</v>
      </c>
      <c r="C375">
        <v>0.373</v>
      </c>
      <c r="D375" t="s">
        <v>4203</v>
      </c>
    </row>
    <row r="376" spans="1:4" x14ac:dyDescent="0.25">
      <c r="A376" t="s">
        <v>2578</v>
      </c>
      <c r="B376" t="s">
        <v>3576</v>
      </c>
      <c r="C376">
        <v>0.374</v>
      </c>
      <c r="D376" t="s">
        <v>4203</v>
      </c>
    </row>
    <row r="377" spans="1:4" x14ac:dyDescent="0.25">
      <c r="A377" t="s">
        <v>2579</v>
      </c>
      <c r="B377" t="s">
        <v>3577</v>
      </c>
      <c r="C377">
        <v>0.375</v>
      </c>
      <c r="D377" t="s">
        <v>4203</v>
      </c>
    </row>
    <row r="378" spans="1:4" x14ac:dyDescent="0.25">
      <c r="A378" t="s">
        <v>2580</v>
      </c>
      <c r="B378" t="s">
        <v>3578</v>
      </c>
      <c r="C378">
        <v>0.376</v>
      </c>
      <c r="D378" t="s">
        <v>4203</v>
      </c>
    </row>
    <row r="379" spans="1:4" x14ac:dyDescent="0.25">
      <c r="A379" t="s">
        <v>2581</v>
      </c>
      <c r="B379" t="s">
        <v>3579</v>
      </c>
      <c r="C379">
        <v>0.377</v>
      </c>
      <c r="D379" t="s">
        <v>4203</v>
      </c>
    </row>
    <row r="380" spans="1:4" x14ac:dyDescent="0.25">
      <c r="A380" t="s">
        <v>2582</v>
      </c>
      <c r="B380" t="s">
        <v>3580</v>
      </c>
      <c r="C380">
        <v>0.378</v>
      </c>
      <c r="D380" t="s">
        <v>4203</v>
      </c>
    </row>
    <row r="381" spans="1:4" x14ac:dyDescent="0.25">
      <c r="A381" t="s">
        <v>2583</v>
      </c>
      <c r="B381" t="s">
        <v>3581</v>
      </c>
      <c r="C381">
        <v>0.379</v>
      </c>
      <c r="D381" t="s">
        <v>4203</v>
      </c>
    </row>
    <row r="382" spans="1:4" x14ac:dyDescent="0.25">
      <c r="A382" t="s">
        <v>2584</v>
      </c>
      <c r="B382" t="s">
        <v>3582</v>
      </c>
      <c r="C382">
        <v>0.38</v>
      </c>
      <c r="D382" t="s">
        <v>4203</v>
      </c>
    </row>
    <row r="383" spans="1:4" x14ac:dyDescent="0.25">
      <c r="A383" t="s">
        <v>2585</v>
      </c>
      <c r="B383" t="s">
        <v>3583</v>
      </c>
      <c r="C383">
        <v>0.38100000000000001</v>
      </c>
      <c r="D383" t="s">
        <v>4203</v>
      </c>
    </row>
    <row r="384" spans="1:4" x14ac:dyDescent="0.25">
      <c r="A384" t="s">
        <v>2586</v>
      </c>
      <c r="B384" t="s">
        <v>3584</v>
      </c>
      <c r="C384">
        <v>0.38200000000000001</v>
      </c>
      <c r="D384" t="s">
        <v>4203</v>
      </c>
    </row>
    <row r="385" spans="1:4" x14ac:dyDescent="0.25">
      <c r="A385" t="s">
        <v>2587</v>
      </c>
      <c r="B385" t="s">
        <v>3585</v>
      </c>
      <c r="C385">
        <v>0.38300000000000001</v>
      </c>
      <c r="D385" t="s">
        <v>4203</v>
      </c>
    </row>
    <row r="386" spans="1:4" x14ac:dyDescent="0.25">
      <c r="A386" t="s">
        <v>2588</v>
      </c>
      <c r="B386" t="s">
        <v>3586</v>
      </c>
      <c r="C386">
        <v>0.38400000000000001</v>
      </c>
      <c r="D386" t="s">
        <v>4203</v>
      </c>
    </row>
    <row r="387" spans="1:4" x14ac:dyDescent="0.25">
      <c r="A387" t="s">
        <v>2589</v>
      </c>
      <c r="B387" t="s">
        <v>3587</v>
      </c>
      <c r="C387">
        <v>0.38500000000000001</v>
      </c>
      <c r="D387" t="s">
        <v>4203</v>
      </c>
    </row>
    <row r="388" spans="1:4" x14ac:dyDescent="0.25">
      <c r="A388" t="s">
        <v>2590</v>
      </c>
      <c r="B388" t="s">
        <v>3588</v>
      </c>
      <c r="C388">
        <v>0.38600000000000001</v>
      </c>
      <c r="D388" t="s">
        <v>4203</v>
      </c>
    </row>
    <row r="389" spans="1:4" x14ac:dyDescent="0.25">
      <c r="A389" t="s">
        <v>2591</v>
      </c>
      <c r="B389" t="s">
        <v>3589</v>
      </c>
      <c r="C389">
        <v>0.38700000000000001</v>
      </c>
      <c r="D389" t="s">
        <v>4203</v>
      </c>
    </row>
    <row r="390" spans="1:4" x14ac:dyDescent="0.25">
      <c r="A390" t="s">
        <v>2592</v>
      </c>
      <c r="B390" t="s">
        <v>3590</v>
      </c>
      <c r="C390">
        <v>0.38800000000000001</v>
      </c>
      <c r="D390" t="s">
        <v>4203</v>
      </c>
    </row>
    <row r="391" spans="1:4" x14ac:dyDescent="0.25">
      <c r="A391" t="s">
        <v>2593</v>
      </c>
      <c r="B391" t="s">
        <v>3591</v>
      </c>
      <c r="C391">
        <v>0.38900000000000001</v>
      </c>
      <c r="D391" t="s">
        <v>4203</v>
      </c>
    </row>
    <row r="392" spans="1:4" x14ac:dyDescent="0.25">
      <c r="A392" t="s">
        <v>2594</v>
      </c>
      <c r="B392" t="s">
        <v>3592</v>
      </c>
      <c r="C392">
        <v>0.39</v>
      </c>
      <c r="D392" t="s">
        <v>4203</v>
      </c>
    </row>
    <row r="393" spans="1:4" x14ac:dyDescent="0.25">
      <c r="A393" t="s">
        <v>2595</v>
      </c>
      <c r="B393" t="s">
        <v>3593</v>
      </c>
      <c r="C393">
        <v>0.39100000000000001</v>
      </c>
      <c r="D393" t="s">
        <v>4203</v>
      </c>
    </row>
    <row r="394" spans="1:4" x14ac:dyDescent="0.25">
      <c r="A394" t="s">
        <v>2596</v>
      </c>
      <c r="B394" t="s">
        <v>3594</v>
      </c>
      <c r="C394">
        <v>0.39200000000000002</v>
      </c>
      <c r="D394" t="s">
        <v>4203</v>
      </c>
    </row>
    <row r="395" spans="1:4" x14ac:dyDescent="0.25">
      <c r="A395" t="s">
        <v>2597</v>
      </c>
      <c r="B395" t="s">
        <v>3595</v>
      </c>
      <c r="C395">
        <v>0.39300000000000002</v>
      </c>
      <c r="D395" t="s">
        <v>4203</v>
      </c>
    </row>
    <row r="396" spans="1:4" x14ac:dyDescent="0.25">
      <c r="A396" t="s">
        <v>2598</v>
      </c>
      <c r="B396" t="s">
        <v>3596</v>
      </c>
      <c r="C396">
        <v>0.39400000000000002</v>
      </c>
      <c r="D396" t="s">
        <v>4203</v>
      </c>
    </row>
    <row r="397" spans="1:4" x14ac:dyDescent="0.25">
      <c r="A397" t="s">
        <v>2599</v>
      </c>
      <c r="B397" t="s">
        <v>3597</v>
      </c>
      <c r="C397">
        <v>0.39500000000000002</v>
      </c>
      <c r="D397" t="s">
        <v>4203</v>
      </c>
    </row>
    <row r="398" spans="1:4" x14ac:dyDescent="0.25">
      <c r="A398" t="s">
        <v>2600</v>
      </c>
      <c r="B398" t="s">
        <v>3598</v>
      </c>
      <c r="C398">
        <v>0.39600000000000002</v>
      </c>
      <c r="D398" t="s">
        <v>4203</v>
      </c>
    </row>
    <row r="399" spans="1:4" x14ac:dyDescent="0.25">
      <c r="A399" t="s">
        <v>2601</v>
      </c>
      <c r="B399" t="s">
        <v>3599</v>
      </c>
      <c r="C399">
        <v>0.39700000000000002</v>
      </c>
      <c r="D399" t="s">
        <v>4203</v>
      </c>
    </row>
    <row r="400" spans="1:4" x14ac:dyDescent="0.25">
      <c r="A400" t="s">
        <v>2602</v>
      </c>
      <c r="B400" t="s">
        <v>3600</v>
      </c>
      <c r="C400">
        <v>0.39800000000000002</v>
      </c>
      <c r="D400" t="s">
        <v>4203</v>
      </c>
    </row>
    <row r="401" spans="1:4" x14ac:dyDescent="0.25">
      <c r="A401" t="s">
        <v>2603</v>
      </c>
      <c r="B401" t="s">
        <v>3601</v>
      </c>
      <c r="C401">
        <v>0.39900000000000002</v>
      </c>
      <c r="D401" t="s">
        <v>4203</v>
      </c>
    </row>
    <row r="402" spans="1:4" x14ac:dyDescent="0.25">
      <c r="A402" t="s">
        <v>2604</v>
      </c>
      <c r="B402" t="s">
        <v>3602</v>
      </c>
      <c r="C402">
        <v>0.4</v>
      </c>
      <c r="D402" t="s">
        <v>4203</v>
      </c>
    </row>
    <row r="403" spans="1:4" x14ac:dyDescent="0.25">
      <c r="A403" t="s">
        <v>2605</v>
      </c>
      <c r="B403" t="s">
        <v>3603</v>
      </c>
      <c r="C403">
        <v>0.40100000000000002</v>
      </c>
      <c r="D403" t="s">
        <v>4203</v>
      </c>
    </row>
    <row r="404" spans="1:4" x14ac:dyDescent="0.25">
      <c r="A404" t="s">
        <v>2606</v>
      </c>
      <c r="B404" t="s">
        <v>3604</v>
      </c>
      <c r="C404">
        <v>0.40200000000000002</v>
      </c>
      <c r="D404" t="s">
        <v>4203</v>
      </c>
    </row>
    <row r="405" spans="1:4" x14ac:dyDescent="0.25">
      <c r="A405" t="s">
        <v>2607</v>
      </c>
      <c r="B405" t="s">
        <v>3605</v>
      </c>
      <c r="C405">
        <v>0.40300000000000002</v>
      </c>
      <c r="D405" t="s">
        <v>4203</v>
      </c>
    </row>
    <row r="406" spans="1:4" x14ac:dyDescent="0.25">
      <c r="A406" t="s">
        <v>2608</v>
      </c>
      <c r="B406" t="s">
        <v>3606</v>
      </c>
      <c r="C406">
        <v>0.40400000000000003</v>
      </c>
      <c r="D406" t="s">
        <v>4203</v>
      </c>
    </row>
    <row r="407" spans="1:4" x14ac:dyDescent="0.25">
      <c r="A407" t="s">
        <v>2609</v>
      </c>
      <c r="B407" t="s">
        <v>3607</v>
      </c>
      <c r="C407">
        <v>0.40500000000000003</v>
      </c>
      <c r="D407" t="s">
        <v>4203</v>
      </c>
    </row>
    <row r="408" spans="1:4" x14ac:dyDescent="0.25">
      <c r="A408" t="s">
        <v>2610</v>
      </c>
      <c r="B408" t="s">
        <v>3608</v>
      </c>
      <c r="C408">
        <v>0.40600000000000003</v>
      </c>
      <c r="D408" t="s">
        <v>4203</v>
      </c>
    </row>
    <row r="409" spans="1:4" x14ac:dyDescent="0.25">
      <c r="A409" t="s">
        <v>2611</v>
      </c>
      <c r="B409" t="s">
        <v>3609</v>
      </c>
      <c r="C409">
        <v>0.40699999999999997</v>
      </c>
      <c r="D409" t="s">
        <v>4203</v>
      </c>
    </row>
    <row r="410" spans="1:4" x14ac:dyDescent="0.25">
      <c r="A410" t="s">
        <v>2612</v>
      </c>
      <c r="B410" t="s">
        <v>3610</v>
      </c>
      <c r="C410">
        <v>0.40799999999999997</v>
      </c>
      <c r="D410" t="s">
        <v>4203</v>
      </c>
    </row>
    <row r="411" spans="1:4" x14ac:dyDescent="0.25">
      <c r="A411" t="s">
        <v>2613</v>
      </c>
      <c r="B411" t="s">
        <v>3611</v>
      </c>
      <c r="C411">
        <v>0.40899999999999997</v>
      </c>
      <c r="D411" t="s">
        <v>4203</v>
      </c>
    </row>
    <row r="412" spans="1:4" x14ac:dyDescent="0.25">
      <c r="A412" t="s">
        <v>2614</v>
      </c>
      <c r="B412" t="s">
        <v>3612</v>
      </c>
      <c r="C412">
        <v>0.41</v>
      </c>
      <c r="D412" t="s">
        <v>4203</v>
      </c>
    </row>
    <row r="413" spans="1:4" x14ac:dyDescent="0.25">
      <c r="A413" t="s">
        <v>2615</v>
      </c>
      <c r="B413" t="s">
        <v>3613</v>
      </c>
      <c r="C413">
        <v>0.41099999999999998</v>
      </c>
      <c r="D413" t="s">
        <v>4203</v>
      </c>
    </row>
    <row r="414" spans="1:4" x14ac:dyDescent="0.25">
      <c r="A414" t="s">
        <v>2616</v>
      </c>
      <c r="B414" t="s">
        <v>3614</v>
      </c>
      <c r="C414">
        <v>0.41199999999999998</v>
      </c>
      <c r="D414" t="s">
        <v>4203</v>
      </c>
    </row>
    <row r="415" spans="1:4" x14ac:dyDescent="0.25">
      <c r="A415" t="s">
        <v>2617</v>
      </c>
      <c r="B415" t="s">
        <v>3615</v>
      </c>
      <c r="C415">
        <v>0.41299999999999998</v>
      </c>
      <c r="D415" t="s">
        <v>4203</v>
      </c>
    </row>
    <row r="416" spans="1:4" x14ac:dyDescent="0.25">
      <c r="A416" t="s">
        <v>2618</v>
      </c>
      <c r="B416" t="s">
        <v>3616</v>
      </c>
      <c r="C416">
        <v>0.41399999999999998</v>
      </c>
      <c r="D416" t="s">
        <v>4203</v>
      </c>
    </row>
    <row r="417" spans="1:4" x14ac:dyDescent="0.25">
      <c r="A417" t="s">
        <v>2619</v>
      </c>
      <c r="B417" t="s">
        <v>3617</v>
      </c>
      <c r="C417">
        <v>0.41499999999999998</v>
      </c>
      <c r="D417" t="s">
        <v>4203</v>
      </c>
    </row>
    <row r="418" spans="1:4" x14ac:dyDescent="0.25">
      <c r="A418" t="s">
        <v>2620</v>
      </c>
      <c r="B418" t="s">
        <v>3618</v>
      </c>
      <c r="C418">
        <v>0.41599999999999998</v>
      </c>
      <c r="D418" t="s">
        <v>4203</v>
      </c>
    </row>
    <row r="419" spans="1:4" x14ac:dyDescent="0.25">
      <c r="A419" t="s">
        <v>2621</v>
      </c>
      <c r="B419" t="s">
        <v>3619</v>
      </c>
      <c r="C419">
        <v>0.41699999999999998</v>
      </c>
      <c r="D419" t="s">
        <v>4203</v>
      </c>
    </row>
    <row r="420" spans="1:4" x14ac:dyDescent="0.25">
      <c r="A420" t="s">
        <v>2622</v>
      </c>
      <c r="B420" t="s">
        <v>3620</v>
      </c>
      <c r="C420">
        <v>0.41799999999999998</v>
      </c>
      <c r="D420" t="s">
        <v>4203</v>
      </c>
    </row>
    <row r="421" spans="1:4" x14ac:dyDescent="0.25">
      <c r="A421" t="s">
        <v>2623</v>
      </c>
      <c r="B421" t="s">
        <v>3621</v>
      </c>
      <c r="C421">
        <v>0.41899999999999998</v>
      </c>
      <c r="D421" t="s">
        <v>4203</v>
      </c>
    </row>
    <row r="422" spans="1:4" x14ac:dyDescent="0.25">
      <c r="A422" t="s">
        <v>2624</v>
      </c>
      <c r="B422" t="s">
        <v>3622</v>
      </c>
      <c r="C422">
        <v>0.42</v>
      </c>
      <c r="D422" t="s">
        <v>4203</v>
      </c>
    </row>
    <row r="423" spans="1:4" x14ac:dyDescent="0.25">
      <c r="A423" t="s">
        <v>2625</v>
      </c>
      <c r="B423" t="s">
        <v>3623</v>
      </c>
      <c r="C423">
        <v>0.42099999999999999</v>
      </c>
      <c r="D423" t="s">
        <v>4203</v>
      </c>
    </row>
    <row r="424" spans="1:4" x14ac:dyDescent="0.25">
      <c r="A424" t="s">
        <v>2626</v>
      </c>
      <c r="B424" t="s">
        <v>3624</v>
      </c>
      <c r="C424">
        <v>0.42199999999999999</v>
      </c>
      <c r="D424" t="s">
        <v>4203</v>
      </c>
    </row>
    <row r="425" spans="1:4" x14ac:dyDescent="0.25">
      <c r="A425" t="s">
        <v>2627</v>
      </c>
      <c r="B425" t="s">
        <v>3625</v>
      </c>
      <c r="C425">
        <v>0.42299999999999999</v>
      </c>
      <c r="D425" t="s">
        <v>4203</v>
      </c>
    </row>
    <row r="426" spans="1:4" x14ac:dyDescent="0.25">
      <c r="A426" t="s">
        <v>2628</v>
      </c>
      <c r="B426" t="s">
        <v>3626</v>
      </c>
      <c r="C426">
        <v>0.42399999999999999</v>
      </c>
      <c r="D426" t="s">
        <v>4203</v>
      </c>
    </row>
    <row r="427" spans="1:4" x14ac:dyDescent="0.25">
      <c r="A427" t="s">
        <v>2629</v>
      </c>
      <c r="B427" t="s">
        <v>3627</v>
      </c>
      <c r="C427">
        <v>0.42499999999999999</v>
      </c>
      <c r="D427" t="s">
        <v>4203</v>
      </c>
    </row>
    <row r="428" spans="1:4" x14ac:dyDescent="0.25">
      <c r="A428" t="s">
        <v>2630</v>
      </c>
      <c r="B428" t="s">
        <v>3628</v>
      </c>
      <c r="C428">
        <v>0.42599999999999999</v>
      </c>
      <c r="D428" t="s">
        <v>4203</v>
      </c>
    </row>
    <row r="429" spans="1:4" x14ac:dyDescent="0.25">
      <c r="A429" t="s">
        <v>2631</v>
      </c>
      <c r="B429" t="s">
        <v>3629</v>
      </c>
      <c r="C429">
        <v>0.42699999999999999</v>
      </c>
      <c r="D429" t="s">
        <v>4203</v>
      </c>
    </row>
    <row r="430" spans="1:4" x14ac:dyDescent="0.25">
      <c r="A430" t="s">
        <v>2632</v>
      </c>
      <c r="B430" t="s">
        <v>3630</v>
      </c>
      <c r="C430">
        <v>0.42799999999999999</v>
      </c>
      <c r="D430" t="s">
        <v>4203</v>
      </c>
    </row>
    <row r="431" spans="1:4" x14ac:dyDescent="0.25">
      <c r="A431" t="s">
        <v>2633</v>
      </c>
      <c r="B431" t="s">
        <v>3631</v>
      </c>
      <c r="C431">
        <v>0.42899999999999999</v>
      </c>
      <c r="D431" t="s">
        <v>4203</v>
      </c>
    </row>
    <row r="432" spans="1:4" x14ac:dyDescent="0.25">
      <c r="A432" t="s">
        <v>2634</v>
      </c>
      <c r="B432" t="s">
        <v>3632</v>
      </c>
      <c r="C432">
        <v>0.43</v>
      </c>
      <c r="D432" t="s">
        <v>4203</v>
      </c>
    </row>
    <row r="433" spans="1:4" x14ac:dyDescent="0.25">
      <c r="A433" t="s">
        <v>2635</v>
      </c>
      <c r="B433" t="s">
        <v>3633</v>
      </c>
      <c r="C433">
        <v>0.43099999999999999</v>
      </c>
      <c r="D433" t="s">
        <v>4203</v>
      </c>
    </row>
    <row r="434" spans="1:4" x14ac:dyDescent="0.25">
      <c r="A434" t="s">
        <v>2636</v>
      </c>
      <c r="B434" t="s">
        <v>3634</v>
      </c>
      <c r="C434">
        <v>0.432</v>
      </c>
      <c r="D434" t="s">
        <v>4203</v>
      </c>
    </row>
    <row r="435" spans="1:4" x14ac:dyDescent="0.25">
      <c r="A435" t="s">
        <v>2637</v>
      </c>
      <c r="B435" t="s">
        <v>3635</v>
      </c>
      <c r="C435">
        <v>0.433</v>
      </c>
      <c r="D435" t="s">
        <v>4203</v>
      </c>
    </row>
    <row r="436" spans="1:4" x14ac:dyDescent="0.25">
      <c r="A436" t="s">
        <v>2638</v>
      </c>
      <c r="B436" t="s">
        <v>3636</v>
      </c>
      <c r="C436">
        <v>0.434</v>
      </c>
      <c r="D436" t="s">
        <v>4203</v>
      </c>
    </row>
    <row r="437" spans="1:4" x14ac:dyDescent="0.25">
      <c r="A437" t="s">
        <v>2639</v>
      </c>
      <c r="B437" t="s">
        <v>3637</v>
      </c>
      <c r="C437">
        <v>0.435</v>
      </c>
      <c r="D437" t="s">
        <v>4203</v>
      </c>
    </row>
    <row r="438" spans="1:4" x14ac:dyDescent="0.25">
      <c r="A438" t="s">
        <v>2640</v>
      </c>
      <c r="B438" t="s">
        <v>3638</v>
      </c>
      <c r="C438">
        <v>0.436</v>
      </c>
      <c r="D438" t="s">
        <v>4203</v>
      </c>
    </row>
    <row r="439" spans="1:4" x14ac:dyDescent="0.25">
      <c r="A439" t="s">
        <v>2641</v>
      </c>
      <c r="B439" t="s">
        <v>3639</v>
      </c>
      <c r="C439">
        <v>0.437</v>
      </c>
      <c r="D439" t="s">
        <v>4203</v>
      </c>
    </row>
    <row r="440" spans="1:4" x14ac:dyDescent="0.25">
      <c r="A440" t="s">
        <v>2642</v>
      </c>
      <c r="B440" t="s">
        <v>3640</v>
      </c>
      <c r="C440">
        <v>0.438</v>
      </c>
      <c r="D440" t="s">
        <v>4203</v>
      </c>
    </row>
    <row r="441" spans="1:4" x14ac:dyDescent="0.25">
      <c r="A441" t="s">
        <v>2643</v>
      </c>
      <c r="B441" t="s">
        <v>3641</v>
      </c>
      <c r="C441">
        <v>0.439</v>
      </c>
      <c r="D441" t="s">
        <v>4203</v>
      </c>
    </row>
    <row r="442" spans="1:4" x14ac:dyDescent="0.25">
      <c r="A442" t="s">
        <v>2644</v>
      </c>
      <c r="B442" t="s">
        <v>3642</v>
      </c>
      <c r="C442">
        <v>0.44</v>
      </c>
      <c r="D442" t="s">
        <v>4203</v>
      </c>
    </row>
    <row r="443" spans="1:4" x14ac:dyDescent="0.25">
      <c r="A443" t="s">
        <v>2645</v>
      </c>
      <c r="B443" t="s">
        <v>3643</v>
      </c>
      <c r="C443">
        <v>0.441</v>
      </c>
      <c r="D443" t="s">
        <v>4203</v>
      </c>
    </row>
    <row r="444" spans="1:4" x14ac:dyDescent="0.25">
      <c r="A444" t="s">
        <v>2646</v>
      </c>
      <c r="B444" t="s">
        <v>3644</v>
      </c>
      <c r="C444">
        <v>0.442</v>
      </c>
      <c r="D444" t="s">
        <v>4203</v>
      </c>
    </row>
    <row r="445" spans="1:4" x14ac:dyDescent="0.25">
      <c r="A445" t="s">
        <v>2647</v>
      </c>
      <c r="B445" t="s">
        <v>3645</v>
      </c>
      <c r="C445">
        <v>0.443</v>
      </c>
      <c r="D445" t="s">
        <v>4203</v>
      </c>
    </row>
    <row r="446" spans="1:4" x14ac:dyDescent="0.25">
      <c r="A446" t="s">
        <v>2648</v>
      </c>
      <c r="B446" t="s">
        <v>3646</v>
      </c>
      <c r="C446">
        <v>0.44400000000000001</v>
      </c>
      <c r="D446" t="s">
        <v>4203</v>
      </c>
    </row>
    <row r="447" spans="1:4" x14ac:dyDescent="0.25">
      <c r="A447" t="s">
        <v>2649</v>
      </c>
      <c r="B447" t="s">
        <v>3647</v>
      </c>
      <c r="C447">
        <v>0.44500000000000001</v>
      </c>
      <c r="D447" t="s">
        <v>4203</v>
      </c>
    </row>
    <row r="448" spans="1:4" x14ac:dyDescent="0.25">
      <c r="A448" t="s">
        <v>2650</v>
      </c>
      <c r="B448" t="s">
        <v>3648</v>
      </c>
      <c r="C448">
        <v>0.44600000000000001</v>
      </c>
      <c r="D448" t="s">
        <v>4203</v>
      </c>
    </row>
    <row r="449" spans="1:4" x14ac:dyDescent="0.25">
      <c r="A449" t="s">
        <v>2651</v>
      </c>
      <c r="B449" t="s">
        <v>3649</v>
      </c>
      <c r="C449">
        <v>0.44700000000000001</v>
      </c>
      <c r="D449" t="s">
        <v>4203</v>
      </c>
    </row>
    <row r="450" spans="1:4" x14ac:dyDescent="0.25">
      <c r="A450" t="s">
        <v>2652</v>
      </c>
      <c r="B450" t="s">
        <v>3650</v>
      </c>
      <c r="C450">
        <v>0.44800000000000001</v>
      </c>
      <c r="D450" t="s">
        <v>4203</v>
      </c>
    </row>
    <row r="451" spans="1:4" x14ac:dyDescent="0.25">
      <c r="A451" t="s">
        <v>2653</v>
      </c>
      <c r="B451" t="s">
        <v>3651</v>
      </c>
      <c r="C451">
        <v>0.44900000000000001</v>
      </c>
      <c r="D451" t="s">
        <v>4203</v>
      </c>
    </row>
    <row r="452" spans="1:4" x14ac:dyDescent="0.25">
      <c r="A452" t="s">
        <v>2654</v>
      </c>
      <c r="B452" t="s">
        <v>3652</v>
      </c>
      <c r="C452">
        <v>0.45</v>
      </c>
      <c r="D452" t="s">
        <v>4203</v>
      </c>
    </row>
    <row r="453" spans="1:4" x14ac:dyDescent="0.25">
      <c r="A453" t="s">
        <v>2655</v>
      </c>
      <c r="B453" t="s">
        <v>3653</v>
      </c>
      <c r="C453">
        <v>0.45100000000000001</v>
      </c>
      <c r="D453" t="s">
        <v>4203</v>
      </c>
    </row>
    <row r="454" spans="1:4" x14ac:dyDescent="0.25">
      <c r="A454" t="s">
        <v>2656</v>
      </c>
      <c r="B454" t="s">
        <v>3654</v>
      </c>
      <c r="C454">
        <v>0.45200000000000001</v>
      </c>
      <c r="D454" t="s">
        <v>4203</v>
      </c>
    </row>
    <row r="455" spans="1:4" x14ac:dyDescent="0.25">
      <c r="A455" t="s">
        <v>2657</v>
      </c>
      <c r="B455" t="s">
        <v>3655</v>
      </c>
      <c r="C455">
        <v>0.45300000000000001</v>
      </c>
      <c r="D455" t="s">
        <v>4203</v>
      </c>
    </row>
    <row r="456" spans="1:4" x14ac:dyDescent="0.25">
      <c r="A456" t="s">
        <v>2658</v>
      </c>
      <c r="B456" t="s">
        <v>3656</v>
      </c>
      <c r="C456">
        <v>0.45400000000000001</v>
      </c>
      <c r="D456" t="s">
        <v>4203</v>
      </c>
    </row>
    <row r="457" spans="1:4" x14ac:dyDescent="0.25">
      <c r="A457" t="s">
        <v>2659</v>
      </c>
      <c r="B457" t="s">
        <v>3657</v>
      </c>
      <c r="C457">
        <v>0.45500000000000002</v>
      </c>
      <c r="D457" t="s">
        <v>4203</v>
      </c>
    </row>
    <row r="458" spans="1:4" x14ac:dyDescent="0.25">
      <c r="A458" t="s">
        <v>2660</v>
      </c>
      <c r="B458" t="s">
        <v>3658</v>
      </c>
      <c r="C458">
        <v>0.45600000000000002</v>
      </c>
      <c r="D458" t="s">
        <v>4203</v>
      </c>
    </row>
    <row r="459" spans="1:4" x14ac:dyDescent="0.25">
      <c r="A459" t="s">
        <v>2661</v>
      </c>
      <c r="B459" t="s">
        <v>3659</v>
      </c>
      <c r="C459">
        <v>0.45700000000000002</v>
      </c>
      <c r="D459" t="s">
        <v>4203</v>
      </c>
    </row>
    <row r="460" spans="1:4" x14ac:dyDescent="0.25">
      <c r="A460" t="s">
        <v>2662</v>
      </c>
      <c r="B460" t="s">
        <v>3660</v>
      </c>
      <c r="C460">
        <v>0.45800000000000002</v>
      </c>
      <c r="D460" t="s">
        <v>4203</v>
      </c>
    </row>
    <row r="461" spans="1:4" x14ac:dyDescent="0.25">
      <c r="A461" t="s">
        <v>2663</v>
      </c>
      <c r="B461" t="s">
        <v>3661</v>
      </c>
      <c r="C461">
        <v>0.45900000000000002</v>
      </c>
      <c r="D461" t="s">
        <v>4203</v>
      </c>
    </row>
    <row r="462" spans="1:4" x14ac:dyDescent="0.25">
      <c r="A462" t="s">
        <v>2664</v>
      </c>
      <c r="B462" t="s">
        <v>3662</v>
      </c>
      <c r="C462">
        <v>0.46</v>
      </c>
      <c r="D462" t="s">
        <v>4203</v>
      </c>
    </row>
    <row r="463" spans="1:4" x14ac:dyDescent="0.25">
      <c r="A463" t="s">
        <v>2665</v>
      </c>
      <c r="B463" t="s">
        <v>3663</v>
      </c>
      <c r="C463">
        <v>0.46100000000000002</v>
      </c>
      <c r="D463" t="s">
        <v>4203</v>
      </c>
    </row>
    <row r="464" spans="1:4" x14ac:dyDescent="0.25">
      <c r="A464" t="s">
        <v>2666</v>
      </c>
      <c r="B464" t="s">
        <v>3664</v>
      </c>
      <c r="C464">
        <v>0.46200000000000002</v>
      </c>
      <c r="D464" t="s">
        <v>4203</v>
      </c>
    </row>
    <row r="465" spans="1:4" x14ac:dyDescent="0.25">
      <c r="A465" t="s">
        <v>2667</v>
      </c>
      <c r="B465" t="s">
        <v>3665</v>
      </c>
      <c r="C465">
        <v>0.46300000000000002</v>
      </c>
      <c r="D465" t="s">
        <v>4203</v>
      </c>
    </row>
    <row r="466" spans="1:4" x14ac:dyDescent="0.25">
      <c r="A466" t="s">
        <v>2668</v>
      </c>
      <c r="B466" t="s">
        <v>3666</v>
      </c>
      <c r="C466">
        <v>0.46400000000000002</v>
      </c>
      <c r="D466" t="s">
        <v>4203</v>
      </c>
    </row>
    <row r="467" spans="1:4" x14ac:dyDescent="0.25">
      <c r="A467" t="s">
        <v>2669</v>
      </c>
      <c r="B467" t="s">
        <v>3667</v>
      </c>
      <c r="C467">
        <v>0.46500000000000002</v>
      </c>
      <c r="D467" t="s">
        <v>4203</v>
      </c>
    </row>
    <row r="468" spans="1:4" x14ac:dyDescent="0.25">
      <c r="A468" t="s">
        <v>2670</v>
      </c>
      <c r="B468" t="s">
        <v>3668</v>
      </c>
      <c r="C468">
        <v>0.46600000000000003</v>
      </c>
      <c r="D468" t="s">
        <v>4203</v>
      </c>
    </row>
    <row r="469" spans="1:4" x14ac:dyDescent="0.25">
      <c r="A469" t="s">
        <v>2671</v>
      </c>
      <c r="B469" t="s">
        <v>3669</v>
      </c>
      <c r="C469">
        <v>0.46700000000000003</v>
      </c>
      <c r="D469" t="s">
        <v>4203</v>
      </c>
    </row>
    <row r="470" spans="1:4" x14ac:dyDescent="0.25">
      <c r="A470" t="s">
        <v>2672</v>
      </c>
      <c r="B470" t="s">
        <v>3670</v>
      </c>
      <c r="C470">
        <v>0.46800000000000003</v>
      </c>
      <c r="D470" t="s">
        <v>4203</v>
      </c>
    </row>
    <row r="471" spans="1:4" x14ac:dyDescent="0.25">
      <c r="A471" t="s">
        <v>2673</v>
      </c>
      <c r="B471" t="s">
        <v>3671</v>
      </c>
      <c r="C471">
        <v>0.46899999999999997</v>
      </c>
      <c r="D471" t="s">
        <v>4203</v>
      </c>
    </row>
    <row r="472" spans="1:4" x14ac:dyDescent="0.25">
      <c r="A472" t="s">
        <v>2674</v>
      </c>
      <c r="B472" t="s">
        <v>3672</v>
      </c>
      <c r="C472">
        <v>0.47</v>
      </c>
      <c r="D472" t="s">
        <v>4203</v>
      </c>
    </row>
    <row r="473" spans="1:4" x14ac:dyDescent="0.25">
      <c r="A473" t="s">
        <v>2675</v>
      </c>
      <c r="B473" t="s">
        <v>3673</v>
      </c>
      <c r="C473">
        <v>0.47099999999999997</v>
      </c>
      <c r="D473" t="s">
        <v>4203</v>
      </c>
    </row>
    <row r="474" spans="1:4" x14ac:dyDescent="0.25">
      <c r="A474" t="s">
        <v>2676</v>
      </c>
      <c r="B474" t="s">
        <v>3674</v>
      </c>
      <c r="C474">
        <v>0.47199999999999998</v>
      </c>
      <c r="D474" t="s">
        <v>4203</v>
      </c>
    </row>
    <row r="475" spans="1:4" x14ac:dyDescent="0.25">
      <c r="A475" t="s">
        <v>2677</v>
      </c>
      <c r="B475" t="s">
        <v>3675</v>
      </c>
      <c r="C475">
        <v>0.47299999999999998</v>
      </c>
      <c r="D475" t="s">
        <v>4203</v>
      </c>
    </row>
    <row r="476" spans="1:4" x14ac:dyDescent="0.25">
      <c r="A476" t="s">
        <v>2678</v>
      </c>
      <c r="B476" t="s">
        <v>3676</v>
      </c>
      <c r="C476">
        <v>0.47399999999999998</v>
      </c>
      <c r="D476" t="s">
        <v>4203</v>
      </c>
    </row>
    <row r="477" spans="1:4" x14ac:dyDescent="0.25">
      <c r="A477" t="s">
        <v>2679</v>
      </c>
      <c r="B477" t="s">
        <v>3677</v>
      </c>
      <c r="C477">
        <v>0.47499999999999998</v>
      </c>
      <c r="D477" t="s">
        <v>4203</v>
      </c>
    </row>
    <row r="478" spans="1:4" x14ac:dyDescent="0.25">
      <c r="A478" t="s">
        <v>2680</v>
      </c>
      <c r="B478" t="s">
        <v>3678</v>
      </c>
      <c r="C478">
        <v>0.47599999999999998</v>
      </c>
      <c r="D478" t="s">
        <v>4203</v>
      </c>
    </row>
    <row r="479" spans="1:4" x14ac:dyDescent="0.25">
      <c r="A479" t="s">
        <v>2681</v>
      </c>
      <c r="B479" t="s">
        <v>3679</v>
      </c>
      <c r="C479">
        <v>0.47699999999999998</v>
      </c>
      <c r="D479" t="s">
        <v>4203</v>
      </c>
    </row>
    <row r="480" spans="1:4" x14ac:dyDescent="0.25">
      <c r="A480" t="s">
        <v>2682</v>
      </c>
      <c r="B480" t="s">
        <v>3680</v>
      </c>
      <c r="C480">
        <v>0.47799999999999998</v>
      </c>
      <c r="D480" t="s">
        <v>4203</v>
      </c>
    </row>
    <row r="481" spans="1:4" x14ac:dyDescent="0.25">
      <c r="A481" t="s">
        <v>2683</v>
      </c>
      <c r="B481" t="s">
        <v>3681</v>
      </c>
      <c r="C481">
        <v>0.47899999999999998</v>
      </c>
      <c r="D481" t="s">
        <v>4203</v>
      </c>
    </row>
    <row r="482" spans="1:4" x14ac:dyDescent="0.25">
      <c r="A482" t="s">
        <v>2684</v>
      </c>
      <c r="B482" t="s">
        <v>3682</v>
      </c>
      <c r="C482">
        <v>0.48</v>
      </c>
      <c r="D482" t="s">
        <v>4203</v>
      </c>
    </row>
    <row r="483" spans="1:4" x14ac:dyDescent="0.25">
      <c r="A483" t="s">
        <v>2685</v>
      </c>
      <c r="B483" t="s">
        <v>3683</v>
      </c>
      <c r="C483">
        <v>0.48099999999999998</v>
      </c>
      <c r="D483" t="s">
        <v>4203</v>
      </c>
    </row>
    <row r="484" spans="1:4" x14ac:dyDescent="0.25">
      <c r="A484" t="s">
        <v>2686</v>
      </c>
      <c r="B484" t="s">
        <v>3684</v>
      </c>
      <c r="C484">
        <v>0.48199999999999998</v>
      </c>
      <c r="D484" t="s">
        <v>4203</v>
      </c>
    </row>
    <row r="485" spans="1:4" x14ac:dyDescent="0.25">
      <c r="A485" t="s">
        <v>2687</v>
      </c>
      <c r="B485" t="s">
        <v>3685</v>
      </c>
      <c r="C485">
        <v>0.48299999999999998</v>
      </c>
      <c r="D485" t="s">
        <v>4203</v>
      </c>
    </row>
    <row r="486" spans="1:4" x14ac:dyDescent="0.25">
      <c r="A486" t="s">
        <v>2688</v>
      </c>
      <c r="B486" t="s">
        <v>3686</v>
      </c>
      <c r="C486">
        <v>0.48399999999999999</v>
      </c>
      <c r="D486" t="s">
        <v>4203</v>
      </c>
    </row>
    <row r="487" spans="1:4" x14ac:dyDescent="0.25">
      <c r="A487" t="s">
        <v>2689</v>
      </c>
      <c r="B487" t="s">
        <v>3687</v>
      </c>
      <c r="C487">
        <v>0.48499999999999999</v>
      </c>
      <c r="D487" t="s">
        <v>4203</v>
      </c>
    </row>
    <row r="488" spans="1:4" x14ac:dyDescent="0.25">
      <c r="A488" t="s">
        <v>2690</v>
      </c>
      <c r="B488" t="s">
        <v>3688</v>
      </c>
      <c r="C488">
        <v>0.48599999999999999</v>
      </c>
      <c r="D488" t="s">
        <v>4203</v>
      </c>
    </row>
    <row r="489" spans="1:4" x14ac:dyDescent="0.25">
      <c r="A489" t="s">
        <v>2691</v>
      </c>
      <c r="B489" t="s">
        <v>3689</v>
      </c>
      <c r="C489">
        <v>0.48699999999999999</v>
      </c>
      <c r="D489" t="s">
        <v>4203</v>
      </c>
    </row>
    <row r="490" spans="1:4" x14ac:dyDescent="0.25">
      <c r="A490" t="s">
        <v>2692</v>
      </c>
      <c r="B490" t="s">
        <v>3690</v>
      </c>
      <c r="C490">
        <v>0.48799999999999999</v>
      </c>
      <c r="D490" t="s">
        <v>4203</v>
      </c>
    </row>
    <row r="491" spans="1:4" x14ac:dyDescent="0.25">
      <c r="A491" t="s">
        <v>2693</v>
      </c>
      <c r="B491" t="s">
        <v>3691</v>
      </c>
      <c r="C491">
        <v>0.48899999999999999</v>
      </c>
      <c r="D491" t="s">
        <v>4203</v>
      </c>
    </row>
    <row r="492" spans="1:4" x14ac:dyDescent="0.25">
      <c r="A492" t="s">
        <v>2694</v>
      </c>
      <c r="B492" t="s">
        <v>3692</v>
      </c>
      <c r="C492">
        <v>0.49</v>
      </c>
      <c r="D492" t="s">
        <v>4203</v>
      </c>
    </row>
    <row r="493" spans="1:4" x14ac:dyDescent="0.25">
      <c r="A493" t="s">
        <v>2695</v>
      </c>
      <c r="B493" t="s">
        <v>3693</v>
      </c>
      <c r="C493">
        <v>0.49099999999999999</v>
      </c>
      <c r="D493" t="s">
        <v>4203</v>
      </c>
    </row>
    <row r="494" spans="1:4" x14ac:dyDescent="0.25">
      <c r="A494" t="s">
        <v>2696</v>
      </c>
      <c r="B494" t="s">
        <v>3694</v>
      </c>
      <c r="C494">
        <v>0.49199999999999999</v>
      </c>
      <c r="D494" t="s">
        <v>4203</v>
      </c>
    </row>
    <row r="495" spans="1:4" x14ac:dyDescent="0.25">
      <c r="A495" t="s">
        <v>2697</v>
      </c>
      <c r="B495" t="s">
        <v>3695</v>
      </c>
      <c r="C495">
        <v>0.49299999999999999</v>
      </c>
      <c r="D495" t="s">
        <v>4203</v>
      </c>
    </row>
    <row r="496" spans="1:4" x14ac:dyDescent="0.25">
      <c r="A496" t="s">
        <v>2698</v>
      </c>
      <c r="B496" t="s">
        <v>3696</v>
      </c>
      <c r="C496">
        <v>0.49399999999999999</v>
      </c>
      <c r="D496" t="s">
        <v>4203</v>
      </c>
    </row>
    <row r="497" spans="1:4" x14ac:dyDescent="0.25">
      <c r="A497" t="s">
        <v>2699</v>
      </c>
      <c r="B497" t="s">
        <v>3697</v>
      </c>
      <c r="C497">
        <v>0.495</v>
      </c>
      <c r="D497" t="s">
        <v>4203</v>
      </c>
    </row>
    <row r="498" spans="1:4" x14ac:dyDescent="0.25">
      <c r="A498" t="s">
        <v>2700</v>
      </c>
      <c r="B498" t="s">
        <v>3698</v>
      </c>
      <c r="C498">
        <v>0.496</v>
      </c>
      <c r="D498" t="s">
        <v>4203</v>
      </c>
    </row>
    <row r="499" spans="1:4" x14ac:dyDescent="0.25">
      <c r="A499" t="s">
        <v>2701</v>
      </c>
      <c r="B499" t="s">
        <v>3699</v>
      </c>
      <c r="C499">
        <v>0.497</v>
      </c>
      <c r="D499" t="s">
        <v>4203</v>
      </c>
    </row>
    <row r="500" spans="1:4" x14ac:dyDescent="0.25">
      <c r="A500" t="s">
        <v>2702</v>
      </c>
      <c r="B500" t="s">
        <v>3700</v>
      </c>
      <c r="C500">
        <v>0.498</v>
      </c>
      <c r="D500" t="s">
        <v>4203</v>
      </c>
    </row>
    <row r="501" spans="1:4" x14ac:dyDescent="0.25">
      <c r="A501" t="s">
        <v>2703</v>
      </c>
      <c r="B501" t="s">
        <v>3701</v>
      </c>
      <c r="C501">
        <v>0.499</v>
      </c>
      <c r="D501" t="s">
        <v>4203</v>
      </c>
    </row>
    <row r="502" spans="1:4" x14ac:dyDescent="0.25">
      <c r="A502" t="s">
        <v>2704</v>
      </c>
      <c r="B502" t="s">
        <v>3702</v>
      </c>
      <c r="C502">
        <v>0.5</v>
      </c>
      <c r="D502" t="s">
        <v>4203</v>
      </c>
    </row>
    <row r="503" spans="1:4" x14ac:dyDescent="0.25">
      <c r="A503" t="s">
        <v>2705</v>
      </c>
      <c r="B503" t="s">
        <v>3703</v>
      </c>
      <c r="C503">
        <v>0.501</v>
      </c>
      <c r="D503" t="s">
        <v>4203</v>
      </c>
    </row>
    <row r="504" spans="1:4" x14ac:dyDescent="0.25">
      <c r="A504" t="s">
        <v>2706</v>
      </c>
      <c r="B504" t="s">
        <v>3704</v>
      </c>
      <c r="C504">
        <v>0.502</v>
      </c>
      <c r="D504" t="s">
        <v>4203</v>
      </c>
    </row>
    <row r="505" spans="1:4" x14ac:dyDescent="0.25">
      <c r="A505" t="s">
        <v>2707</v>
      </c>
      <c r="B505" t="s">
        <v>3705</v>
      </c>
      <c r="C505">
        <v>0.503</v>
      </c>
      <c r="D505" t="s">
        <v>4203</v>
      </c>
    </row>
    <row r="506" spans="1:4" x14ac:dyDescent="0.25">
      <c r="A506" t="s">
        <v>2708</v>
      </c>
      <c r="B506" t="s">
        <v>3706</v>
      </c>
      <c r="C506">
        <v>0.504</v>
      </c>
      <c r="D506" t="s">
        <v>4203</v>
      </c>
    </row>
    <row r="507" spans="1:4" x14ac:dyDescent="0.25">
      <c r="A507" t="s">
        <v>2709</v>
      </c>
      <c r="B507" t="s">
        <v>3707</v>
      </c>
      <c r="C507">
        <v>0.505</v>
      </c>
      <c r="D507" t="s">
        <v>4203</v>
      </c>
    </row>
    <row r="508" spans="1:4" x14ac:dyDescent="0.25">
      <c r="A508" t="s">
        <v>2710</v>
      </c>
      <c r="B508" t="s">
        <v>3708</v>
      </c>
      <c r="C508">
        <v>0.50600000000000001</v>
      </c>
      <c r="D508" t="s">
        <v>4203</v>
      </c>
    </row>
    <row r="509" spans="1:4" x14ac:dyDescent="0.25">
      <c r="A509" t="s">
        <v>2711</v>
      </c>
      <c r="B509" t="s">
        <v>3709</v>
      </c>
      <c r="C509">
        <v>0.50700000000000001</v>
      </c>
      <c r="D509" t="s">
        <v>4203</v>
      </c>
    </row>
    <row r="510" spans="1:4" x14ac:dyDescent="0.25">
      <c r="A510" t="s">
        <v>2712</v>
      </c>
      <c r="B510" t="s">
        <v>3710</v>
      </c>
      <c r="C510">
        <v>0.50800000000000001</v>
      </c>
      <c r="D510" t="s">
        <v>4203</v>
      </c>
    </row>
    <row r="511" spans="1:4" x14ac:dyDescent="0.25">
      <c r="A511" t="s">
        <v>2713</v>
      </c>
      <c r="B511" t="s">
        <v>3711</v>
      </c>
      <c r="C511">
        <v>0.50900000000000001</v>
      </c>
      <c r="D511" t="s">
        <v>4203</v>
      </c>
    </row>
    <row r="512" spans="1:4" x14ac:dyDescent="0.25">
      <c r="A512" t="s">
        <v>2714</v>
      </c>
      <c r="B512" t="s">
        <v>3712</v>
      </c>
      <c r="C512">
        <v>0.51</v>
      </c>
      <c r="D512" t="s">
        <v>4203</v>
      </c>
    </row>
    <row r="513" spans="1:4" x14ac:dyDescent="0.25">
      <c r="A513" t="s">
        <v>2715</v>
      </c>
      <c r="B513" t="s">
        <v>3713</v>
      </c>
      <c r="C513">
        <v>0.51100000000000001</v>
      </c>
      <c r="D513" t="s">
        <v>4203</v>
      </c>
    </row>
    <row r="514" spans="1:4" x14ac:dyDescent="0.25">
      <c r="A514" t="s">
        <v>2716</v>
      </c>
      <c r="B514" t="s">
        <v>3714</v>
      </c>
      <c r="C514">
        <v>0.51200000000000001</v>
      </c>
      <c r="D514" t="s">
        <v>4203</v>
      </c>
    </row>
    <row r="515" spans="1:4" x14ac:dyDescent="0.25">
      <c r="A515" t="s">
        <v>2717</v>
      </c>
      <c r="B515" t="s">
        <v>3715</v>
      </c>
      <c r="C515">
        <v>0.51300000000000001</v>
      </c>
      <c r="D515" t="s">
        <v>4203</v>
      </c>
    </row>
    <row r="516" spans="1:4" x14ac:dyDescent="0.25">
      <c r="A516" t="s">
        <v>2718</v>
      </c>
      <c r="B516" t="s">
        <v>3716</v>
      </c>
      <c r="C516">
        <v>0.51400000000000001</v>
      </c>
      <c r="D516" t="s">
        <v>4203</v>
      </c>
    </row>
    <row r="517" spans="1:4" x14ac:dyDescent="0.25">
      <c r="A517" t="s">
        <v>2719</v>
      </c>
      <c r="B517" t="s">
        <v>3717</v>
      </c>
      <c r="C517">
        <v>0.51500000000000001</v>
      </c>
      <c r="D517" t="s">
        <v>4203</v>
      </c>
    </row>
    <row r="518" spans="1:4" x14ac:dyDescent="0.25">
      <c r="A518" t="s">
        <v>2720</v>
      </c>
      <c r="B518" t="s">
        <v>3718</v>
      </c>
      <c r="C518">
        <v>0.51600000000000001</v>
      </c>
      <c r="D518" t="s">
        <v>4203</v>
      </c>
    </row>
    <row r="519" spans="1:4" x14ac:dyDescent="0.25">
      <c r="A519" t="s">
        <v>2721</v>
      </c>
      <c r="B519" t="s">
        <v>3719</v>
      </c>
      <c r="C519">
        <v>0.51700000000000002</v>
      </c>
      <c r="D519" t="s">
        <v>4203</v>
      </c>
    </row>
    <row r="520" spans="1:4" x14ac:dyDescent="0.25">
      <c r="A520" t="s">
        <v>2722</v>
      </c>
      <c r="B520" t="s">
        <v>3720</v>
      </c>
      <c r="C520">
        <v>0.51800000000000002</v>
      </c>
      <c r="D520" t="s">
        <v>4203</v>
      </c>
    </row>
    <row r="521" spans="1:4" x14ac:dyDescent="0.25">
      <c r="A521" t="s">
        <v>2723</v>
      </c>
      <c r="B521" t="s">
        <v>3721</v>
      </c>
      <c r="C521">
        <v>0.51900000000000002</v>
      </c>
      <c r="D521" t="s">
        <v>4203</v>
      </c>
    </row>
    <row r="522" spans="1:4" x14ac:dyDescent="0.25">
      <c r="A522" t="s">
        <v>2724</v>
      </c>
      <c r="B522" t="s">
        <v>3722</v>
      </c>
      <c r="C522">
        <v>0.52</v>
      </c>
      <c r="D522" t="s">
        <v>4203</v>
      </c>
    </row>
    <row r="523" spans="1:4" x14ac:dyDescent="0.25">
      <c r="A523" t="s">
        <v>2725</v>
      </c>
      <c r="B523" t="s">
        <v>3723</v>
      </c>
      <c r="C523">
        <v>0.52100000000000002</v>
      </c>
      <c r="D523" t="s">
        <v>4203</v>
      </c>
    </row>
    <row r="524" spans="1:4" x14ac:dyDescent="0.25">
      <c r="A524" t="s">
        <v>2726</v>
      </c>
      <c r="B524" t="s">
        <v>3724</v>
      </c>
      <c r="C524">
        <v>0.52200000000000002</v>
      </c>
      <c r="D524" t="s">
        <v>4203</v>
      </c>
    </row>
    <row r="525" spans="1:4" x14ac:dyDescent="0.25">
      <c r="A525" t="s">
        <v>2727</v>
      </c>
      <c r="B525" t="s">
        <v>3725</v>
      </c>
      <c r="C525">
        <v>0.52300000000000002</v>
      </c>
      <c r="D525" t="s">
        <v>4203</v>
      </c>
    </row>
    <row r="526" spans="1:4" x14ac:dyDescent="0.25">
      <c r="A526" t="s">
        <v>2728</v>
      </c>
      <c r="B526" t="s">
        <v>3726</v>
      </c>
      <c r="C526">
        <v>0.52400000000000002</v>
      </c>
      <c r="D526" t="s">
        <v>4203</v>
      </c>
    </row>
    <row r="527" spans="1:4" x14ac:dyDescent="0.25">
      <c r="A527" t="s">
        <v>2729</v>
      </c>
      <c r="B527" t="s">
        <v>3727</v>
      </c>
      <c r="C527">
        <v>0.52500000000000002</v>
      </c>
      <c r="D527" t="s">
        <v>4203</v>
      </c>
    </row>
    <row r="528" spans="1:4" x14ac:dyDescent="0.25">
      <c r="A528" t="s">
        <v>2730</v>
      </c>
      <c r="B528" t="s">
        <v>3728</v>
      </c>
      <c r="C528">
        <v>0.52600000000000002</v>
      </c>
      <c r="D528" t="s">
        <v>4203</v>
      </c>
    </row>
    <row r="529" spans="1:4" x14ac:dyDescent="0.25">
      <c r="A529" t="s">
        <v>2731</v>
      </c>
      <c r="B529" t="s">
        <v>3729</v>
      </c>
      <c r="C529">
        <v>0.52700000000000002</v>
      </c>
      <c r="D529" t="s">
        <v>4203</v>
      </c>
    </row>
    <row r="530" spans="1:4" x14ac:dyDescent="0.25">
      <c r="A530" t="s">
        <v>2732</v>
      </c>
      <c r="B530" t="s">
        <v>3730</v>
      </c>
      <c r="C530">
        <v>0.52800000000000002</v>
      </c>
      <c r="D530" t="s">
        <v>4203</v>
      </c>
    </row>
    <row r="531" spans="1:4" x14ac:dyDescent="0.25">
      <c r="A531" t="s">
        <v>2733</v>
      </c>
      <c r="B531" t="s">
        <v>3731</v>
      </c>
      <c r="C531">
        <v>0.52900000000000003</v>
      </c>
      <c r="D531" t="s">
        <v>4203</v>
      </c>
    </row>
    <row r="532" spans="1:4" x14ac:dyDescent="0.25">
      <c r="A532" t="s">
        <v>2734</v>
      </c>
      <c r="B532" t="s">
        <v>3732</v>
      </c>
      <c r="C532">
        <v>0.53</v>
      </c>
      <c r="D532" t="s">
        <v>4203</v>
      </c>
    </row>
    <row r="533" spans="1:4" x14ac:dyDescent="0.25">
      <c r="A533" t="s">
        <v>2735</v>
      </c>
      <c r="B533" t="s">
        <v>3733</v>
      </c>
      <c r="C533">
        <v>0.53100000000000003</v>
      </c>
      <c r="D533" t="s">
        <v>4203</v>
      </c>
    </row>
    <row r="534" spans="1:4" x14ac:dyDescent="0.25">
      <c r="A534" t="s">
        <v>2736</v>
      </c>
      <c r="B534" t="s">
        <v>3734</v>
      </c>
      <c r="C534">
        <v>0.53200000000000003</v>
      </c>
      <c r="D534" t="s">
        <v>4203</v>
      </c>
    </row>
    <row r="535" spans="1:4" x14ac:dyDescent="0.25">
      <c r="A535" t="s">
        <v>2737</v>
      </c>
      <c r="B535" t="s">
        <v>3735</v>
      </c>
      <c r="C535">
        <v>0.53300000000000003</v>
      </c>
      <c r="D535" t="s">
        <v>4203</v>
      </c>
    </row>
    <row r="536" spans="1:4" x14ac:dyDescent="0.25">
      <c r="A536" t="s">
        <v>2738</v>
      </c>
      <c r="B536" t="s">
        <v>3736</v>
      </c>
      <c r="C536">
        <v>0.53400000000000003</v>
      </c>
      <c r="D536" t="s">
        <v>4203</v>
      </c>
    </row>
    <row r="537" spans="1:4" x14ac:dyDescent="0.25">
      <c r="A537" t="s">
        <v>2739</v>
      </c>
      <c r="B537" t="s">
        <v>3737</v>
      </c>
      <c r="C537">
        <v>0.53500000000000003</v>
      </c>
      <c r="D537" t="s">
        <v>4203</v>
      </c>
    </row>
    <row r="538" spans="1:4" x14ac:dyDescent="0.25">
      <c r="A538" t="s">
        <v>2740</v>
      </c>
      <c r="B538" t="s">
        <v>3738</v>
      </c>
      <c r="C538">
        <v>0.53600000000000003</v>
      </c>
      <c r="D538" t="s">
        <v>4203</v>
      </c>
    </row>
    <row r="539" spans="1:4" x14ac:dyDescent="0.25">
      <c r="A539" t="s">
        <v>2741</v>
      </c>
      <c r="B539" t="s">
        <v>3739</v>
      </c>
      <c r="C539">
        <v>0.53700000000000003</v>
      </c>
      <c r="D539" t="s">
        <v>4203</v>
      </c>
    </row>
    <row r="540" spans="1:4" x14ac:dyDescent="0.25">
      <c r="A540" t="s">
        <v>2742</v>
      </c>
      <c r="B540" t="s">
        <v>3740</v>
      </c>
      <c r="C540">
        <v>0.53800000000000003</v>
      </c>
      <c r="D540" t="s">
        <v>4203</v>
      </c>
    </row>
    <row r="541" spans="1:4" x14ac:dyDescent="0.25">
      <c r="A541" t="s">
        <v>2743</v>
      </c>
      <c r="B541" t="s">
        <v>3741</v>
      </c>
      <c r="C541">
        <v>0.53900000000000003</v>
      </c>
      <c r="D541" t="s">
        <v>4203</v>
      </c>
    </row>
    <row r="542" spans="1:4" x14ac:dyDescent="0.25">
      <c r="A542" t="s">
        <v>2744</v>
      </c>
      <c r="B542" t="s">
        <v>3742</v>
      </c>
      <c r="C542">
        <v>0.54</v>
      </c>
      <c r="D542" t="s">
        <v>4203</v>
      </c>
    </row>
    <row r="543" spans="1:4" x14ac:dyDescent="0.25">
      <c r="A543" t="s">
        <v>2745</v>
      </c>
      <c r="B543" t="s">
        <v>3743</v>
      </c>
      <c r="C543">
        <v>0.54100000000000004</v>
      </c>
      <c r="D543" t="s">
        <v>4203</v>
      </c>
    </row>
    <row r="544" spans="1:4" x14ac:dyDescent="0.25">
      <c r="A544" t="s">
        <v>2746</v>
      </c>
      <c r="B544" t="s">
        <v>3744</v>
      </c>
      <c r="C544">
        <v>0.54200000000000004</v>
      </c>
      <c r="D544" t="s">
        <v>4203</v>
      </c>
    </row>
    <row r="545" spans="1:4" x14ac:dyDescent="0.25">
      <c r="A545" t="s">
        <v>2747</v>
      </c>
      <c r="B545" t="s">
        <v>3745</v>
      </c>
      <c r="C545">
        <v>0.54300000000000004</v>
      </c>
      <c r="D545" t="s">
        <v>4203</v>
      </c>
    </row>
    <row r="546" spans="1:4" x14ac:dyDescent="0.25">
      <c r="A546" t="s">
        <v>2748</v>
      </c>
      <c r="B546" t="s">
        <v>3746</v>
      </c>
      <c r="C546">
        <v>0.54400000000000004</v>
      </c>
      <c r="D546" t="s">
        <v>4203</v>
      </c>
    </row>
    <row r="547" spans="1:4" x14ac:dyDescent="0.25">
      <c r="A547" t="s">
        <v>2749</v>
      </c>
      <c r="B547" t="s">
        <v>3747</v>
      </c>
      <c r="C547">
        <v>0.54500000000000004</v>
      </c>
      <c r="D547" t="s">
        <v>4203</v>
      </c>
    </row>
    <row r="548" spans="1:4" x14ac:dyDescent="0.25">
      <c r="A548" t="s">
        <v>2750</v>
      </c>
      <c r="B548" t="s">
        <v>3748</v>
      </c>
      <c r="C548">
        <v>0.54600000000000004</v>
      </c>
      <c r="D548" t="s">
        <v>4203</v>
      </c>
    </row>
    <row r="549" spans="1:4" x14ac:dyDescent="0.25">
      <c r="A549" t="s">
        <v>2751</v>
      </c>
      <c r="B549" t="s">
        <v>3749</v>
      </c>
      <c r="C549">
        <v>0.54700000000000004</v>
      </c>
      <c r="D549" t="s">
        <v>4203</v>
      </c>
    </row>
    <row r="550" spans="1:4" x14ac:dyDescent="0.25">
      <c r="A550" t="s">
        <v>2752</v>
      </c>
      <c r="B550" t="s">
        <v>3750</v>
      </c>
      <c r="C550">
        <v>0.54800000000000004</v>
      </c>
      <c r="D550" t="s">
        <v>4203</v>
      </c>
    </row>
    <row r="551" spans="1:4" x14ac:dyDescent="0.25">
      <c r="A551" t="s">
        <v>2753</v>
      </c>
      <c r="B551" t="s">
        <v>3751</v>
      </c>
      <c r="C551">
        <v>0.54900000000000004</v>
      </c>
      <c r="D551" t="s">
        <v>4203</v>
      </c>
    </row>
    <row r="552" spans="1:4" x14ac:dyDescent="0.25">
      <c r="A552" t="s">
        <v>2754</v>
      </c>
      <c r="B552" t="s">
        <v>3752</v>
      </c>
      <c r="C552">
        <v>0.55000000000000004</v>
      </c>
      <c r="D552" t="s">
        <v>4203</v>
      </c>
    </row>
    <row r="553" spans="1:4" x14ac:dyDescent="0.25">
      <c r="A553" t="s">
        <v>2755</v>
      </c>
      <c r="B553" t="s">
        <v>3753</v>
      </c>
      <c r="C553">
        <v>0.55100000000000005</v>
      </c>
      <c r="D553" t="s">
        <v>4203</v>
      </c>
    </row>
    <row r="554" spans="1:4" x14ac:dyDescent="0.25">
      <c r="A554" t="s">
        <v>2756</v>
      </c>
      <c r="B554" t="s">
        <v>3754</v>
      </c>
      <c r="C554">
        <v>0.55200000000000005</v>
      </c>
      <c r="D554" t="s">
        <v>4203</v>
      </c>
    </row>
    <row r="555" spans="1:4" x14ac:dyDescent="0.25">
      <c r="A555" t="s">
        <v>2757</v>
      </c>
      <c r="B555" t="s">
        <v>3755</v>
      </c>
      <c r="C555">
        <v>0.55300000000000005</v>
      </c>
      <c r="D555" t="s">
        <v>4203</v>
      </c>
    </row>
    <row r="556" spans="1:4" x14ac:dyDescent="0.25">
      <c r="A556" t="s">
        <v>2758</v>
      </c>
      <c r="B556" t="s">
        <v>3756</v>
      </c>
      <c r="C556">
        <v>0.55400000000000005</v>
      </c>
      <c r="D556" t="s">
        <v>4203</v>
      </c>
    </row>
    <row r="557" spans="1:4" x14ac:dyDescent="0.25">
      <c r="A557" t="s">
        <v>2759</v>
      </c>
      <c r="B557" t="s">
        <v>3757</v>
      </c>
      <c r="C557">
        <v>0.55500000000000005</v>
      </c>
      <c r="D557" t="s">
        <v>4203</v>
      </c>
    </row>
    <row r="558" spans="1:4" x14ac:dyDescent="0.25">
      <c r="A558" t="s">
        <v>2760</v>
      </c>
      <c r="B558" t="s">
        <v>3758</v>
      </c>
      <c r="C558">
        <v>0.55600000000000005</v>
      </c>
      <c r="D558" t="s">
        <v>4203</v>
      </c>
    </row>
    <row r="559" spans="1:4" x14ac:dyDescent="0.25">
      <c r="A559" t="s">
        <v>2761</v>
      </c>
      <c r="B559" t="s">
        <v>3759</v>
      </c>
      <c r="C559">
        <v>0.55700000000000005</v>
      </c>
      <c r="D559" t="s">
        <v>4203</v>
      </c>
    </row>
    <row r="560" spans="1:4" x14ac:dyDescent="0.25">
      <c r="A560" t="s">
        <v>2762</v>
      </c>
      <c r="B560" t="s">
        <v>3760</v>
      </c>
      <c r="C560">
        <v>0.55800000000000005</v>
      </c>
      <c r="D560" t="s">
        <v>4203</v>
      </c>
    </row>
    <row r="561" spans="1:4" x14ac:dyDescent="0.25">
      <c r="A561" t="s">
        <v>2763</v>
      </c>
      <c r="B561" t="s">
        <v>3761</v>
      </c>
      <c r="C561">
        <v>0.55900000000000005</v>
      </c>
      <c r="D561" t="s">
        <v>4203</v>
      </c>
    </row>
    <row r="562" spans="1:4" x14ac:dyDescent="0.25">
      <c r="A562" t="s">
        <v>2764</v>
      </c>
      <c r="B562" t="s">
        <v>3762</v>
      </c>
      <c r="C562">
        <v>0.56000000000000005</v>
      </c>
      <c r="D562" t="s">
        <v>4203</v>
      </c>
    </row>
    <row r="563" spans="1:4" x14ac:dyDescent="0.25">
      <c r="A563" t="s">
        <v>2765</v>
      </c>
      <c r="B563" t="s">
        <v>3763</v>
      </c>
      <c r="C563">
        <v>0.56100000000000005</v>
      </c>
      <c r="D563" t="s">
        <v>4203</v>
      </c>
    </row>
    <row r="564" spans="1:4" x14ac:dyDescent="0.25">
      <c r="A564" t="s">
        <v>2766</v>
      </c>
      <c r="B564" t="s">
        <v>3764</v>
      </c>
      <c r="C564">
        <v>0.56200000000000006</v>
      </c>
      <c r="D564" t="s">
        <v>4203</v>
      </c>
    </row>
    <row r="565" spans="1:4" x14ac:dyDescent="0.25">
      <c r="A565" t="s">
        <v>2767</v>
      </c>
      <c r="B565" t="s">
        <v>3765</v>
      </c>
      <c r="C565">
        <v>0.56299999999999994</v>
      </c>
      <c r="D565" t="s">
        <v>4203</v>
      </c>
    </row>
    <row r="566" spans="1:4" x14ac:dyDescent="0.25">
      <c r="A566" t="s">
        <v>2768</v>
      </c>
      <c r="B566" t="s">
        <v>3766</v>
      </c>
      <c r="C566">
        <v>0.56399999999999995</v>
      </c>
      <c r="D566" t="s">
        <v>4203</v>
      </c>
    </row>
    <row r="567" spans="1:4" x14ac:dyDescent="0.25">
      <c r="A567" t="s">
        <v>2769</v>
      </c>
      <c r="B567" t="s">
        <v>3767</v>
      </c>
      <c r="C567">
        <v>0.56499999999999995</v>
      </c>
      <c r="D567" t="s">
        <v>4203</v>
      </c>
    </row>
    <row r="568" spans="1:4" x14ac:dyDescent="0.25">
      <c r="A568" t="s">
        <v>2770</v>
      </c>
      <c r="B568" t="s">
        <v>3768</v>
      </c>
      <c r="C568">
        <v>0.56599999999999995</v>
      </c>
      <c r="D568" t="s">
        <v>4203</v>
      </c>
    </row>
    <row r="569" spans="1:4" x14ac:dyDescent="0.25">
      <c r="A569" t="s">
        <v>2771</v>
      </c>
      <c r="B569" t="s">
        <v>3769</v>
      </c>
      <c r="C569">
        <v>0.56699999999999995</v>
      </c>
      <c r="D569" t="s">
        <v>4203</v>
      </c>
    </row>
    <row r="570" spans="1:4" x14ac:dyDescent="0.25">
      <c r="A570" t="s">
        <v>2772</v>
      </c>
      <c r="B570" t="s">
        <v>3770</v>
      </c>
      <c r="C570">
        <v>0.56799999999999995</v>
      </c>
      <c r="D570" t="s">
        <v>4203</v>
      </c>
    </row>
    <row r="571" spans="1:4" x14ac:dyDescent="0.25">
      <c r="A571" t="s">
        <v>2773</v>
      </c>
      <c r="B571" t="s">
        <v>3771</v>
      </c>
      <c r="C571">
        <v>0.56899999999999995</v>
      </c>
      <c r="D571" t="s">
        <v>4203</v>
      </c>
    </row>
    <row r="572" spans="1:4" x14ac:dyDescent="0.25">
      <c r="A572" t="s">
        <v>2774</v>
      </c>
      <c r="B572" t="s">
        <v>3772</v>
      </c>
      <c r="C572">
        <v>0.56999999999999995</v>
      </c>
      <c r="D572" t="s">
        <v>4203</v>
      </c>
    </row>
    <row r="573" spans="1:4" x14ac:dyDescent="0.25">
      <c r="A573" t="s">
        <v>2775</v>
      </c>
      <c r="B573" t="s">
        <v>3773</v>
      </c>
      <c r="C573">
        <v>0.57099999999999995</v>
      </c>
      <c r="D573" t="s">
        <v>4203</v>
      </c>
    </row>
    <row r="574" spans="1:4" x14ac:dyDescent="0.25">
      <c r="A574" t="s">
        <v>2776</v>
      </c>
      <c r="B574" t="s">
        <v>3774</v>
      </c>
      <c r="C574">
        <v>0.57199999999999995</v>
      </c>
      <c r="D574" t="s">
        <v>4203</v>
      </c>
    </row>
    <row r="575" spans="1:4" x14ac:dyDescent="0.25">
      <c r="A575" t="s">
        <v>2777</v>
      </c>
      <c r="B575" t="s">
        <v>3775</v>
      </c>
      <c r="C575">
        <v>0.57299999999999995</v>
      </c>
      <c r="D575" t="s">
        <v>4203</v>
      </c>
    </row>
    <row r="576" spans="1:4" x14ac:dyDescent="0.25">
      <c r="A576" t="s">
        <v>2778</v>
      </c>
      <c r="B576" t="s">
        <v>3776</v>
      </c>
      <c r="C576">
        <v>0.57399999999999995</v>
      </c>
      <c r="D576" t="s">
        <v>4203</v>
      </c>
    </row>
    <row r="577" spans="1:4" x14ac:dyDescent="0.25">
      <c r="A577" t="s">
        <v>2779</v>
      </c>
      <c r="B577" t="s">
        <v>3777</v>
      </c>
      <c r="C577">
        <v>0.57499999999999996</v>
      </c>
      <c r="D577" t="s">
        <v>4203</v>
      </c>
    </row>
    <row r="578" spans="1:4" x14ac:dyDescent="0.25">
      <c r="A578" t="s">
        <v>2780</v>
      </c>
      <c r="B578" t="s">
        <v>3778</v>
      </c>
      <c r="C578">
        <v>0.57599999999999996</v>
      </c>
      <c r="D578" t="s">
        <v>4203</v>
      </c>
    </row>
    <row r="579" spans="1:4" x14ac:dyDescent="0.25">
      <c r="A579" t="s">
        <v>2781</v>
      </c>
      <c r="B579" t="s">
        <v>3779</v>
      </c>
      <c r="C579">
        <v>0.57699999999999996</v>
      </c>
      <c r="D579" t="s">
        <v>4203</v>
      </c>
    </row>
    <row r="580" spans="1:4" x14ac:dyDescent="0.25">
      <c r="A580" t="s">
        <v>2782</v>
      </c>
      <c r="B580" t="s">
        <v>3780</v>
      </c>
      <c r="C580">
        <v>0.57799999999999996</v>
      </c>
      <c r="D580" t="s">
        <v>4203</v>
      </c>
    </row>
    <row r="581" spans="1:4" x14ac:dyDescent="0.25">
      <c r="A581" t="s">
        <v>2783</v>
      </c>
      <c r="B581" t="s">
        <v>3781</v>
      </c>
      <c r="C581">
        <v>0.57899999999999996</v>
      </c>
      <c r="D581" t="s">
        <v>4203</v>
      </c>
    </row>
    <row r="582" spans="1:4" x14ac:dyDescent="0.25">
      <c r="A582" t="s">
        <v>2784</v>
      </c>
      <c r="B582" t="s">
        <v>3782</v>
      </c>
      <c r="C582">
        <v>0.57999999999999996</v>
      </c>
      <c r="D582" t="s">
        <v>4203</v>
      </c>
    </row>
    <row r="583" spans="1:4" x14ac:dyDescent="0.25">
      <c r="A583" t="s">
        <v>2785</v>
      </c>
      <c r="B583" t="s">
        <v>3783</v>
      </c>
      <c r="C583">
        <v>0.58099999999999996</v>
      </c>
      <c r="D583" t="s">
        <v>4203</v>
      </c>
    </row>
    <row r="584" spans="1:4" x14ac:dyDescent="0.25">
      <c r="A584" t="s">
        <v>2786</v>
      </c>
      <c r="B584" t="s">
        <v>3784</v>
      </c>
      <c r="C584">
        <v>0.58199999999999996</v>
      </c>
      <c r="D584" t="s">
        <v>4203</v>
      </c>
    </row>
    <row r="585" spans="1:4" x14ac:dyDescent="0.25">
      <c r="A585" t="s">
        <v>2787</v>
      </c>
      <c r="B585" t="s">
        <v>3785</v>
      </c>
      <c r="C585">
        <v>0.58299999999999996</v>
      </c>
      <c r="D585" t="s">
        <v>4203</v>
      </c>
    </row>
    <row r="586" spans="1:4" x14ac:dyDescent="0.25">
      <c r="A586" t="s">
        <v>2788</v>
      </c>
      <c r="B586" t="s">
        <v>3786</v>
      </c>
      <c r="C586">
        <v>0.58399999999999996</v>
      </c>
      <c r="D586" t="s">
        <v>4203</v>
      </c>
    </row>
    <row r="587" spans="1:4" x14ac:dyDescent="0.25">
      <c r="A587" t="s">
        <v>2789</v>
      </c>
      <c r="B587" t="s">
        <v>3787</v>
      </c>
      <c r="C587">
        <v>0.58499999999999996</v>
      </c>
      <c r="D587" t="s">
        <v>4203</v>
      </c>
    </row>
    <row r="588" spans="1:4" x14ac:dyDescent="0.25">
      <c r="A588" t="s">
        <v>2790</v>
      </c>
      <c r="B588" t="s">
        <v>3788</v>
      </c>
      <c r="C588">
        <v>0.58599999999999997</v>
      </c>
      <c r="D588" t="s">
        <v>4203</v>
      </c>
    </row>
    <row r="589" spans="1:4" x14ac:dyDescent="0.25">
      <c r="A589" t="s">
        <v>2791</v>
      </c>
      <c r="B589" t="s">
        <v>3789</v>
      </c>
      <c r="C589">
        <v>0.58699999999999997</v>
      </c>
      <c r="D589" t="s">
        <v>4203</v>
      </c>
    </row>
    <row r="590" spans="1:4" x14ac:dyDescent="0.25">
      <c r="A590" t="s">
        <v>2792</v>
      </c>
      <c r="B590" t="s">
        <v>3790</v>
      </c>
      <c r="C590">
        <v>0.58799999999999997</v>
      </c>
      <c r="D590" t="s">
        <v>4203</v>
      </c>
    </row>
    <row r="591" spans="1:4" x14ac:dyDescent="0.25">
      <c r="A591" t="s">
        <v>2793</v>
      </c>
      <c r="B591" t="s">
        <v>3791</v>
      </c>
      <c r="C591">
        <v>0.58899999999999997</v>
      </c>
      <c r="D591" t="s">
        <v>4203</v>
      </c>
    </row>
    <row r="592" spans="1:4" x14ac:dyDescent="0.25">
      <c r="A592" t="s">
        <v>2794</v>
      </c>
      <c r="B592" t="s">
        <v>3792</v>
      </c>
      <c r="C592">
        <v>0.59</v>
      </c>
      <c r="D592" t="s">
        <v>4203</v>
      </c>
    </row>
    <row r="593" spans="1:4" x14ac:dyDescent="0.25">
      <c r="A593" t="s">
        <v>2795</v>
      </c>
      <c r="B593" t="s">
        <v>3793</v>
      </c>
      <c r="C593">
        <v>0.59099999999999997</v>
      </c>
      <c r="D593" t="s">
        <v>4203</v>
      </c>
    </row>
    <row r="594" spans="1:4" x14ac:dyDescent="0.25">
      <c r="A594" t="s">
        <v>2796</v>
      </c>
      <c r="B594" t="s">
        <v>3794</v>
      </c>
      <c r="C594">
        <v>0.59199999999999997</v>
      </c>
      <c r="D594" t="s">
        <v>4203</v>
      </c>
    </row>
    <row r="595" spans="1:4" x14ac:dyDescent="0.25">
      <c r="A595" t="s">
        <v>2797</v>
      </c>
      <c r="B595" t="s">
        <v>3795</v>
      </c>
      <c r="C595">
        <v>0.59299999999999997</v>
      </c>
      <c r="D595" t="s">
        <v>4203</v>
      </c>
    </row>
    <row r="596" spans="1:4" x14ac:dyDescent="0.25">
      <c r="A596" t="s">
        <v>2798</v>
      </c>
      <c r="B596" t="s">
        <v>3796</v>
      </c>
      <c r="C596">
        <v>0.59399999999999997</v>
      </c>
      <c r="D596" t="s">
        <v>4203</v>
      </c>
    </row>
    <row r="597" spans="1:4" x14ac:dyDescent="0.25">
      <c r="A597" t="s">
        <v>2799</v>
      </c>
      <c r="B597" t="s">
        <v>3797</v>
      </c>
      <c r="C597">
        <v>0.59499999999999997</v>
      </c>
      <c r="D597" t="s">
        <v>4203</v>
      </c>
    </row>
    <row r="598" spans="1:4" x14ac:dyDescent="0.25">
      <c r="A598" t="s">
        <v>2800</v>
      </c>
      <c r="B598" t="s">
        <v>3798</v>
      </c>
      <c r="C598">
        <v>0.59599999999999997</v>
      </c>
      <c r="D598" t="s">
        <v>4203</v>
      </c>
    </row>
    <row r="599" spans="1:4" x14ac:dyDescent="0.25">
      <c r="A599" t="s">
        <v>2801</v>
      </c>
      <c r="B599" t="s">
        <v>3799</v>
      </c>
      <c r="C599">
        <v>0.59699999999999998</v>
      </c>
      <c r="D599" t="s">
        <v>4203</v>
      </c>
    </row>
    <row r="600" spans="1:4" x14ac:dyDescent="0.25">
      <c r="A600" t="s">
        <v>2802</v>
      </c>
      <c r="B600" t="s">
        <v>3800</v>
      </c>
      <c r="C600">
        <v>0.59799999999999998</v>
      </c>
      <c r="D600" t="s">
        <v>4203</v>
      </c>
    </row>
    <row r="601" spans="1:4" x14ac:dyDescent="0.25">
      <c r="A601" t="s">
        <v>2803</v>
      </c>
      <c r="B601" t="s">
        <v>3801</v>
      </c>
      <c r="C601">
        <v>0.59899999999999998</v>
      </c>
      <c r="D601" t="s">
        <v>4203</v>
      </c>
    </row>
    <row r="602" spans="1:4" x14ac:dyDescent="0.25">
      <c r="A602" t="s">
        <v>2804</v>
      </c>
      <c r="B602" t="s">
        <v>3802</v>
      </c>
      <c r="C602">
        <v>0.6</v>
      </c>
      <c r="D602" t="s">
        <v>4203</v>
      </c>
    </row>
    <row r="603" spans="1:4" x14ac:dyDescent="0.25">
      <c r="A603" t="s">
        <v>2805</v>
      </c>
      <c r="B603" t="s">
        <v>3803</v>
      </c>
      <c r="C603">
        <v>0.60099999999999998</v>
      </c>
      <c r="D603" t="s">
        <v>4203</v>
      </c>
    </row>
    <row r="604" spans="1:4" x14ac:dyDescent="0.25">
      <c r="A604" t="s">
        <v>2806</v>
      </c>
      <c r="B604" t="s">
        <v>3804</v>
      </c>
      <c r="C604">
        <v>0.60199999999999998</v>
      </c>
      <c r="D604" t="s">
        <v>4203</v>
      </c>
    </row>
    <row r="605" spans="1:4" x14ac:dyDescent="0.25">
      <c r="A605" t="s">
        <v>2807</v>
      </c>
      <c r="B605" t="s">
        <v>3805</v>
      </c>
      <c r="C605">
        <v>0.60299999999999998</v>
      </c>
      <c r="D605" t="s">
        <v>4203</v>
      </c>
    </row>
    <row r="606" spans="1:4" x14ac:dyDescent="0.25">
      <c r="A606" t="s">
        <v>2808</v>
      </c>
      <c r="B606" t="s">
        <v>3806</v>
      </c>
      <c r="C606">
        <v>0.60399999999999998</v>
      </c>
      <c r="D606" t="s">
        <v>4203</v>
      </c>
    </row>
    <row r="607" spans="1:4" x14ac:dyDescent="0.25">
      <c r="A607" t="s">
        <v>2809</v>
      </c>
      <c r="B607" t="s">
        <v>3807</v>
      </c>
      <c r="C607">
        <v>0.60499999999999998</v>
      </c>
      <c r="D607" t="s">
        <v>4203</v>
      </c>
    </row>
    <row r="608" spans="1:4" x14ac:dyDescent="0.25">
      <c r="A608" t="s">
        <v>2810</v>
      </c>
      <c r="B608" t="s">
        <v>3808</v>
      </c>
      <c r="C608">
        <v>0.60599999999999998</v>
      </c>
      <c r="D608" t="s">
        <v>4203</v>
      </c>
    </row>
    <row r="609" spans="1:4" x14ac:dyDescent="0.25">
      <c r="A609" t="s">
        <v>2811</v>
      </c>
      <c r="B609" t="s">
        <v>3809</v>
      </c>
      <c r="C609">
        <v>0.60699999999999998</v>
      </c>
      <c r="D609" t="s">
        <v>4203</v>
      </c>
    </row>
    <row r="610" spans="1:4" x14ac:dyDescent="0.25">
      <c r="A610" t="s">
        <v>2812</v>
      </c>
      <c r="B610" t="s">
        <v>3810</v>
      </c>
      <c r="C610">
        <v>0.60799999999999998</v>
      </c>
      <c r="D610" t="s">
        <v>4203</v>
      </c>
    </row>
    <row r="611" spans="1:4" x14ac:dyDescent="0.25">
      <c r="A611" t="s">
        <v>2813</v>
      </c>
      <c r="B611" t="s">
        <v>3811</v>
      </c>
      <c r="C611">
        <v>0.60899999999999999</v>
      </c>
      <c r="D611" t="s">
        <v>4203</v>
      </c>
    </row>
    <row r="612" spans="1:4" x14ac:dyDescent="0.25">
      <c r="A612" t="s">
        <v>2814</v>
      </c>
      <c r="B612" t="s">
        <v>3812</v>
      </c>
      <c r="C612">
        <v>0.61</v>
      </c>
      <c r="D612" t="s">
        <v>4203</v>
      </c>
    </row>
    <row r="613" spans="1:4" x14ac:dyDescent="0.25">
      <c r="A613" t="s">
        <v>2815</v>
      </c>
      <c r="B613" t="s">
        <v>3813</v>
      </c>
      <c r="C613">
        <v>0.61099999999999999</v>
      </c>
      <c r="D613" t="s">
        <v>4203</v>
      </c>
    </row>
    <row r="614" spans="1:4" x14ac:dyDescent="0.25">
      <c r="A614" t="s">
        <v>2816</v>
      </c>
      <c r="B614" t="s">
        <v>3814</v>
      </c>
      <c r="C614">
        <v>0.61199999999999999</v>
      </c>
      <c r="D614" t="s">
        <v>4203</v>
      </c>
    </row>
    <row r="615" spans="1:4" x14ac:dyDescent="0.25">
      <c r="A615" t="s">
        <v>2817</v>
      </c>
      <c r="B615" t="s">
        <v>3815</v>
      </c>
      <c r="C615">
        <v>0.61299999999999999</v>
      </c>
      <c r="D615" t="s">
        <v>4203</v>
      </c>
    </row>
    <row r="616" spans="1:4" x14ac:dyDescent="0.25">
      <c r="A616" t="s">
        <v>2818</v>
      </c>
      <c r="B616" t="s">
        <v>3816</v>
      </c>
      <c r="C616">
        <v>0.61399999999999999</v>
      </c>
      <c r="D616" t="s">
        <v>4203</v>
      </c>
    </row>
    <row r="617" spans="1:4" x14ac:dyDescent="0.25">
      <c r="A617" t="s">
        <v>2819</v>
      </c>
      <c r="B617" t="s">
        <v>3817</v>
      </c>
      <c r="C617">
        <v>0.61499999999999999</v>
      </c>
      <c r="D617" t="s">
        <v>4203</v>
      </c>
    </row>
    <row r="618" spans="1:4" x14ac:dyDescent="0.25">
      <c r="A618" t="s">
        <v>2820</v>
      </c>
      <c r="B618" t="s">
        <v>3818</v>
      </c>
      <c r="C618">
        <v>0.61599999999999999</v>
      </c>
      <c r="D618" t="s">
        <v>4203</v>
      </c>
    </row>
    <row r="619" spans="1:4" x14ac:dyDescent="0.25">
      <c r="A619" t="s">
        <v>2821</v>
      </c>
      <c r="B619" t="s">
        <v>3819</v>
      </c>
      <c r="C619">
        <v>0.61699999999999999</v>
      </c>
      <c r="D619" t="s">
        <v>4203</v>
      </c>
    </row>
    <row r="620" spans="1:4" x14ac:dyDescent="0.25">
      <c r="A620" t="s">
        <v>2822</v>
      </c>
      <c r="B620" t="s">
        <v>3820</v>
      </c>
      <c r="C620">
        <v>0.61799999999999999</v>
      </c>
      <c r="D620" t="s">
        <v>4203</v>
      </c>
    </row>
    <row r="621" spans="1:4" x14ac:dyDescent="0.25">
      <c r="A621" t="s">
        <v>2823</v>
      </c>
      <c r="B621" t="s">
        <v>3821</v>
      </c>
      <c r="C621">
        <v>0.61899999999999999</v>
      </c>
      <c r="D621" t="s">
        <v>4203</v>
      </c>
    </row>
    <row r="622" spans="1:4" x14ac:dyDescent="0.25">
      <c r="A622" t="s">
        <v>2824</v>
      </c>
      <c r="B622" t="s">
        <v>3822</v>
      </c>
      <c r="C622">
        <v>0.62</v>
      </c>
      <c r="D622" t="s">
        <v>4203</v>
      </c>
    </row>
    <row r="623" spans="1:4" x14ac:dyDescent="0.25">
      <c r="A623" t="s">
        <v>2825</v>
      </c>
      <c r="B623" t="s">
        <v>3823</v>
      </c>
      <c r="C623">
        <v>0.621</v>
      </c>
      <c r="D623" t="s">
        <v>4203</v>
      </c>
    </row>
    <row r="624" spans="1:4" x14ac:dyDescent="0.25">
      <c r="A624" t="s">
        <v>2826</v>
      </c>
      <c r="B624" t="s">
        <v>3824</v>
      </c>
      <c r="C624">
        <v>0.622</v>
      </c>
      <c r="D624" t="s">
        <v>4203</v>
      </c>
    </row>
    <row r="625" spans="1:4" x14ac:dyDescent="0.25">
      <c r="A625" t="s">
        <v>2827</v>
      </c>
      <c r="B625" t="s">
        <v>3825</v>
      </c>
      <c r="C625">
        <v>0.623</v>
      </c>
      <c r="D625" t="s">
        <v>4203</v>
      </c>
    </row>
    <row r="626" spans="1:4" x14ac:dyDescent="0.25">
      <c r="A626" t="s">
        <v>2828</v>
      </c>
      <c r="B626" t="s">
        <v>3826</v>
      </c>
      <c r="C626">
        <v>0.624</v>
      </c>
      <c r="D626" t="s">
        <v>4203</v>
      </c>
    </row>
    <row r="627" spans="1:4" x14ac:dyDescent="0.25">
      <c r="A627" t="s">
        <v>2829</v>
      </c>
      <c r="B627" t="s">
        <v>3827</v>
      </c>
      <c r="C627">
        <v>0.625</v>
      </c>
      <c r="D627" t="s">
        <v>4203</v>
      </c>
    </row>
    <row r="628" spans="1:4" x14ac:dyDescent="0.25">
      <c r="A628" t="s">
        <v>2830</v>
      </c>
      <c r="B628" t="s">
        <v>3828</v>
      </c>
      <c r="C628">
        <v>0.626</v>
      </c>
      <c r="D628" t="s">
        <v>4203</v>
      </c>
    </row>
    <row r="629" spans="1:4" x14ac:dyDescent="0.25">
      <c r="A629" t="s">
        <v>2831</v>
      </c>
      <c r="B629" t="s">
        <v>3829</v>
      </c>
      <c r="C629">
        <v>0.627</v>
      </c>
      <c r="D629" t="s">
        <v>4203</v>
      </c>
    </row>
    <row r="630" spans="1:4" x14ac:dyDescent="0.25">
      <c r="A630" t="s">
        <v>2832</v>
      </c>
      <c r="B630" t="s">
        <v>3830</v>
      </c>
      <c r="C630">
        <v>0.628</v>
      </c>
      <c r="D630" t="s">
        <v>4203</v>
      </c>
    </row>
    <row r="631" spans="1:4" x14ac:dyDescent="0.25">
      <c r="A631" t="s">
        <v>2833</v>
      </c>
      <c r="B631" t="s">
        <v>3831</v>
      </c>
      <c r="C631">
        <v>0.629</v>
      </c>
      <c r="D631" t="s">
        <v>4203</v>
      </c>
    </row>
    <row r="632" spans="1:4" x14ac:dyDescent="0.25">
      <c r="A632" t="s">
        <v>2834</v>
      </c>
      <c r="B632" t="s">
        <v>3832</v>
      </c>
      <c r="C632">
        <v>0.63</v>
      </c>
      <c r="D632" t="s">
        <v>4203</v>
      </c>
    </row>
    <row r="633" spans="1:4" x14ac:dyDescent="0.25">
      <c r="A633" t="s">
        <v>2835</v>
      </c>
      <c r="B633" t="s">
        <v>3833</v>
      </c>
      <c r="C633">
        <v>0.63100000000000001</v>
      </c>
      <c r="D633" t="s">
        <v>4203</v>
      </c>
    </row>
    <row r="634" spans="1:4" x14ac:dyDescent="0.25">
      <c r="A634" t="s">
        <v>2836</v>
      </c>
      <c r="B634" t="s">
        <v>3834</v>
      </c>
      <c r="C634">
        <v>0.63200000000000001</v>
      </c>
      <c r="D634" t="s">
        <v>4203</v>
      </c>
    </row>
    <row r="635" spans="1:4" x14ac:dyDescent="0.25">
      <c r="A635" t="s">
        <v>2837</v>
      </c>
      <c r="B635" t="s">
        <v>3835</v>
      </c>
      <c r="C635">
        <v>0.63300000000000001</v>
      </c>
      <c r="D635" t="s">
        <v>4203</v>
      </c>
    </row>
    <row r="636" spans="1:4" x14ac:dyDescent="0.25">
      <c r="A636" t="s">
        <v>2838</v>
      </c>
      <c r="B636" t="s">
        <v>3836</v>
      </c>
      <c r="C636">
        <v>0.63400000000000001</v>
      </c>
      <c r="D636" t="s">
        <v>4203</v>
      </c>
    </row>
    <row r="637" spans="1:4" x14ac:dyDescent="0.25">
      <c r="A637" t="s">
        <v>2839</v>
      </c>
      <c r="B637" t="s">
        <v>3837</v>
      </c>
      <c r="C637">
        <v>0.63500000000000001</v>
      </c>
      <c r="D637" t="s">
        <v>4203</v>
      </c>
    </row>
    <row r="638" spans="1:4" x14ac:dyDescent="0.25">
      <c r="A638" t="s">
        <v>2840</v>
      </c>
      <c r="B638" t="s">
        <v>3838</v>
      </c>
      <c r="C638">
        <v>0.63600000000000001</v>
      </c>
      <c r="D638" t="s">
        <v>4203</v>
      </c>
    </row>
    <row r="639" spans="1:4" x14ac:dyDescent="0.25">
      <c r="A639" t="s">
        <v>2841</v>
      </c>
      <c r="B639" t="s">
        <v>3839</v>
      </c>
      <c r="C639">
        <v>0.63700000000000001</v>
      </c>
      <c r="D639" t="s">
        <v>4203</v>
      </c>
    </row>
    <row r="640" spans="1:4" x14ac:dyDescent="0.25">
      <c r="A640" t="s">
        <v>2842</v>
      </c>
      <c r="B640" t="s">
        <v>3840</v>
      </c>
      <c r="C640">
        <v>0.63800000000000001</v>
      </c>
      <c r="D640" t="s">
        <v>4203</v>
      </c>
    </row>
    <row r="641" spans="1:4" x14ac:dyDescent="0.25">
      <c r="A641" t="s">
        <v>2843</v>
      </c>
      <c r="B641" t="s">
        <v>3841</v>
      </c>
      <c r="C641">
        <v>0.63900000000000001</v>
      </c>
      <c r="D641" t="s">
        <v>4203</v>
      </c>
    </row>
    <row r="642" spans="1:4" x14ac:dyDescent="0.25">
      <c r="A642" t="s">
        <v>2844</v>
      </c>
      <c r="B642" t="s">
        <v>3842</v>
      </c>
      <c r="C642">
        <v>0.64</v>
      </c>
      <c r="D642" t="s">
        <v>4203</v>
      </c>
    </row>
    <row r="643" spans="1:4" x14ac:dyDescent="0.25">
      <c r="A643" t="s">
        <v>2845</v>
      </c>
      <c r="B643" t="s">
        <v>3843</v>
      </c>
      <c r="C643">
        <v>0.64100000000000001</v>
      </c>
      <c r="D643" t="s">
        <v>4203</v>
      </c>
    </row>
    <row r="644" spans="1:4" x14ac:dyDescent="0.25">
      <c r="A644" t="s">
        <v>2846</v>
      </c>
      <c r="B644" t="s">
        <v>3844</v>
      </c>
      <c r="C644">
        <v>0.64200000000000002</v>
      </c>
      <c r="D644" t="s">
        <v>4203</v>
      </c>
    </row>
    <row r="645" spans="1:4" x14ac:dyDescent="0.25">
      <c r="A645" t="s">
        <v>2847</v>
      </c>
      <c r="B645" t="s">
        <v>3845</v>
      </c>
      <c r="C645">
        <v>0.64300000000000002</v>
      </c>
      <c r="D645" t="s">
        <v>4203</v>
      </c>
    </row>
    <row r="646" spans="1:4" x14ac:dyDescent="0.25">
      <c r="A646" t="s">
        <v>2848</v>
      </c>
      <c r="B646" t="s">
        <v>3846</v>
      </c>
      <c r="C646">
        <v>0.64400000000000002</v>
      </c>
      <c r="D646" t="s">
        <v>4203</v>
      </c>
    </row>
    <row r="647" spans="1:4" x14ac:dyDescent="0.25">
      <c r="A647" t="s">
        <v>2849</v>
      </c>
      <c r="B647" t="s">
        <v>3847</v>
      </c>
      <c r="C647">
        <v>0.64500000000000002</v>
      </c>
      <c r="D647" t="s">
        <v>4203</v>
      </c>
    </row>
    <row r="648" spans="1:4" x14ac:dyDescent="0.25">
      <c r="A648" t="s">
        <v>2850</v>
      </c>
      <c r="B648" t="s">
        <v>3848</v>
      </c>
      <c r="C648">
        <v>0.64600000000000002</v>
      </c>
      <c r="D648" t="s">
        <v>4203</v>
      </c>
    </row>
    <row r="649" spans="1:4" x14ac:dyDescent="0.25">
      <c r="A649" t="s">
        <v>2851</v>
      </c>
      <c r="B649" t="s">
        <v>3849</v>
      </c>
      <c r="C649">
        <v>0.64700000000000002</v>
      </c>
      <c r="D649" t="s">
        <v>4203</v>
      </c>
    </row>
    <row r="650" spans="1:4" x14ac:dyDescent="0.25">
      <c r="A650" t="s">
        <v>2852</v>
      </c>
      <c r="B650" t="s">
        <v>3850</v>
      </c>
      <c r="C650">
        <v>0.64800000000000002</v>
      </c>
      <c r="D650" t="s">
        <v>4203</v>
      </c>
    </row>
    <row r="651" spans="1:4" x14ac:dyDescent="0.25">
      <c r="A651" t="s">
        <v>2853</v>
      </c>
      <c r="B651" t="s">
        <v>3851</v>
      </c>
      <c r="C651">
        <v>0.64900000000000002</v>
      </c>
      <c r="D651" t="s">
        <v>4203</v>
      </c>
    </row>
    <row r="652" spans="1:4" x14ac:dyDescent="0.25">
      <c r="A652" t="s">
        <v>2854</v>
      </c>
      <c r="B652" t="s">
        <v>3852</v>
      </c>
      <c r="C652">
        <v>0.65</v>
      </c>
      <c r="D652" t="s">
        <v>4203</v>
      </c>
    </row>
    <row r="653" spans="1:4" x14ac:dyDescent="0.25">
      <c r="A653" t="s">
        <v>2855</v>
      </c>
      <c r="B653" t="s">
        <v>3853</v>
      </c>
      <c r="C653">
        <v>0.65100000000000002</v>
      </c>
      <c r="D653" t="s">
        <v>4203</v>
      </c>
    </row>
    <row r="654" spans="1:4" x14ac:dyDescent="0.25">
      <c r="A654" t="s">
        <v>2856</v>
      </c>
      <c r="B654" t="s">
        <v>3854</v>
      </c>
      <c r="C654">
        <v>0.65200000000000002</v>
      </c>
      <c r="D654" t="s">
        <v>4203</v>
      </c>
    </row>
    <row r="655" spans="1:4" x14ac:dyDescent="0.25">
      <c r="A655" t="s">
        <v>2857</v>
      </c>
      <c r="B655" t="s">
        <v>3855</v>
      </c>
      <c r="C655">
        <v>0.65300000000000002</v>
      </c>
      <c r="D655" t="s">
        <v>4203</v>
      </c>
    </row>
    <row r="656" spans="1:4" x14ac:dyDescent="0.25">
      <c r="A656" t="s">
        <v>2858</v>
      </c>
      <c r="B656" t="s">
        <v>3856</v>
      </c>
      <c r="C656">
        <v>0.65400000000000003</v>
      </c>
      <c r="D656" t="s">
        <v>4203</v>
      </c>
    </row>
    <row r="657" spans="1:4" x14ac:dyDescent="0.25">
      <c r="A657" t="s">
        <v>2859</v>
      </c>
      <c r="B657" t="s">
        <v>3857</v>
      </c>
      <c r="C657">
        <v>0.65500000000000003</v>
      </c>
      <c r="D657" t="s">
        <v>4203</v>
      </c>
    </row>
    <row r="658" spans="1:4" x14ac:dyDescent="0.25">
      <c r="A658" t="s">
        <v>2860</v>
      </c>
      <c r="B658" t="s">
        <v>3858</v>
      </c>
      <c r="C658">
        <v>0.65600000000000003</v>
      </c>
      <c r="D658" t="s">
        <v>4203</v>
      </c>
    </row>
    <row r="659" spans="1:4" x14ac:dyDescent="0.25">
      <c r="A659" t="s">
        <v>2861</v>
      </c>
      <c r="B659" t="s">
        <v>3859</v>
      </c>
      <c r="C659">
        <v>0.65700000000000003</v>
      </c>
      <c r="D659" t="s">
        <v>4203</v>
      </c>
    </row>
    <row r="660" spans="1:4" x14ac:dyDescent="0.25">
      <c r="A660" t="s">
        <v>2862</v>
      </c>
      <c r="B660" t="s">
        <v>3860</v>
      </c>
      <c r="C660">
        <v>0.65800000000000003</v>
      </c>
      <c r="D660" t="s">
        <v>4203</v>
      </c>
    </row>
    <row r="661" spans="1:4" x14ac:dyDescent="0.25">
      <c r="A661" t="s">
        <v>2863</v>
      </c>
      <c r="B661" t="s">
        <v>3861</v>
      </c>
      <c r="C661">
        <v>0.65900000000000003</v>
      </c>
      <c r="D661" t="s">
        <v>4203</v>
      </c>
    </row>
    <row r="662" spans="1:4" x14ac:dyDescent="0.25">
      <c r="A662" t="s">
        <v>2864</v>
      </c>
      <c r="B662" t="s">
        <v>3862</v>
      </c>
      <c r="C662">
        <v>0.66000000000000103</v>
      </c>
      <c r="D662" t="s">
        <v>4203</v>
      </c>
    </row>
    <row r="663" spans="1:4" x14ac:dyDescent="0.25">
      <c r="A663" t="s">
        <v>2865</v>
      </c>
      <c r="B663" t="s">
        <v>3863</v>
      </c>
      <c r="C663">
        <v>0.66100000000000103</v>
      </c>
      <c r="D663" t="s">
        <v>4203</v>
      </c>
    </row>
    <row r="664" spans="1:4" x14ac:dyDescent="0.25">
      <c r="A664" t="s">
        <v>2866</v>
      </c>
      <c r="B664" t="s">
        <v>3864</v>
      </c>
      <c r="C664">
        <v>0.66200000000000103</v>
      </c>
      <c r="D664" t="s">
        <v>4203</v>
      </c>
    </row>
    <row r="665" spans="1:4" x14ac:dyDescent="0.25">
      <c r="A665" t="s">
        <v>2867</v>
      </c>
      <c r="B665" t="s">
        <v>3865</v>
      </c>
      <c r="C665">
        <v>0.66300000000000103</v>
      </c>
      <c r="D665" t="s">
        <v>4203</v>
      </c>
    </row>
    <row r="666" spans="1:4" x14ac:dyDescent="0.25">
      <c r="A666" t="s">
        <v>2868</v>
      </c>
      <c r="B666" t="s">
        <v>3866</v>
      </c>
      <c r="C666">
        <v>0.66400000000000103</v>
      </c>
      <c r="D666" t="s">
        <v>4203</v>
      </c>
    </row>
    <row r="667" spans="1:4" x14ac:dyDescent="0.25">
      <c r="A667" t="s">
        <v>2869</v>
      </c>
      <c r="B667" t="s">
        <v>3867</v>
      </c>
      <c r="C667">
        <v>0.66500000000000103</v>
      </c>
      <c r="D667" t="s">
        <v>4203</v>
      </c>
    </row>
    <row r="668" spans="1:4" x14ac:dyDescent="0.25">
      <c r="A668" t="s">
        <v>2870</v>
      </c>
      <c r="B668" t="s">
        <v>3868</v>
      </c>
      <c r="C668">
        <v>0.66600000000000104</v>
      </c>
      <c r="D668" t="s">
        <v>4203</v>
      </c>
    </row>
    <row r="669" spans="1:4" x14ac:dyDescent="0.25">
      <c r="A669" t="s">
        <v>2871</v>
      </c>
      <c r="B669" t="s">
        <v>3869</v>
      </c>
      <c r="C669">
        <v>0.66700000000000104</v>
      </c>
      <c r="D669" t="s">
        <v>4203</v>
      </c>
    </row>
    <row r="670" spans="1:4" x14ac:dyDescent="0.25">
      <c r="A670" t="s">
        <v>2872</v>
      </c>
      <c r="B670" t="s">
        <v>3870</v>
      </c>
      <c r="C670">
        <v>0.66800000000000104</v>
      </c>
      <c r="D670" t="s">
        <v>4203</v>
      </c>
    </row>
    <row r="671" spans="1:4" x14ac:dyDescent="0.25">
      <c r="A671" t="s">
        <v>2873</v>
      </c>
      <c r="B671" t="s">
        <v>3871</v>
      </c>
      <c r="C671">
        <v>0.66900000000000104</v>
      </c>
      <c r="D671" t="s">
        <v>4203</v>
      </c>
    </row>
    <row r="672" spans="1:4" x14ac:dyDescent="0.25">
      <c r="A672" t="s">
        <v>2874</v>
      </c>
      <c r="B672" t="s">
        <v>3872</v>
      </c>
      <c r="C672">
        <v>0.67000000000000104</v>
      </c>
      <c r="D672" t="s">
        <v>4203</v>
      </c>
    </row>
    <row r="673" spans="1:4" x14ac:dyDescent="0.25">
      <c r="A673" t="s">
        <v>2875</v>
      </c>
      <c r="B673" t="s">
        <v>3873</v>
      </c>
      <c r="C673">
        <v>0.67100000000000104</v>
      </c>
      <c r="D673" t="s">
        <v>4203</v>
      </c>
    </row>
    <row r="674" spans="1:4" x14ac:dyDescent="0.25">
      <c r="A674" t="s">
        <v>2876</v>
      </c>
      <c r="B674" t="s">
        <v>3874</v>
      </c>
      <c r="C674">
        <v>0.67200000000000104</v>
      </c>
      <c r="D674" t="s">
        <v>4203</v>
      </c>
    </row>
    <row r="675" spans="1:4" x14ac:dyDescent="0.25">
      <c r="A675" t="s">
        <v>2877</v>
      </c>
      <c r="B675" t="s">
        <v>3875</v>
      </c>
      <c r="C675">
        <v>0.67300000000000104</v>
      </c>
      <c r="D675" t="s">
        <v>4203</v>
      </c>
    </row>
    <row r="676" spans="1:4" x14ac:dyDescent="0.25">
      <c r="A676" t="s">
        <v>2878</v>
      </c>
      <c r="B676" t="s">
        <v>3876</v>
      </c>
      <c r="C676">
        <v>0.67400000000000104</v>
      </c>
      <c r="D676" t="s">
        <v>4203</v>
      </c>
    </row>
    <row r="677" spans="1:4" x14ac:dyDescent="0.25">
      <c r="A677" t="s">
        <v>2879</v>
      </c>
      <c r="B677" t="s">
        <v>3877</v>
      </c>
      <c r="C677">
        <v>0.67500000000000104</v>
      </c>
      <c r="D677" t="s">
        <v>4203</v>
      </c>
    </row>
    <row r="678" spans="1:4" x14ac:dyDescent="0.25">
      <c r="A678" t="s">
        <v>2880</v>
      </c>
      <c r="B678" t="s">
        <v>3878</v>
      </c>
      <c r="C678">
        <v>0.67600000000000104</v>
      </c>
      <c r="D678" t="s">
        <v>4203</v>
      </c>
    </row>
    <row r="679" spans="1:4" x14ac:dyDescent="0.25">
      <c r="A679" t="s">
        <v>2881</v>
      </c>
      <c r="B679" t="s">
        <v>3879</v>
      </c>
      <c r="C679">
        <v>0.67700000000000105</v>
      </c>
      <c r="D679" t="s">
        <v>4203</v>
      </c>
    </row>
    <row r="680" spans="1:4" x14ac:dyDescent="0.25">
      <c r="A680" t="s">
        <v>2882</v>
      </c>
      <c r="B680" t="s">
        <v>3880</v>
      </c>
      <c r="C680">
        <v>0.67800000000000105</v>
      </c>
      <c r="D680" t="s">
        <v>4203</v>
      </c>
    </row>
    <row r="681" spans="1:4" x14ac:dyDescent="0.25">
      <c r="A681" t="s">
        <v>2883</v>
      </c>
      <c r="B681" t="s">
        <v>3881</v>
      </c>
      <c r="C681">
        <v>0.67900000000000105</v>
      </c>
      <c r="D681" t="s">
        <v>4203</v>
      </c>
    </row>
    <row r="682" spans="1:4" x14ac:dyDescent="0.25">
      <c r="A682" t="s">
        <v>2884</v>
      </c>
      <c r="B682" t="s">
        <v>3882</v>
      </c>
      <c r="C682">
        <v>0.68000000000000105</v>
      </c>
      <c r="D682" t="s">
        <v>4203</v>
      </c>
    </row>
    <row r="683" spans="1:4" x14ac:dyDescent="0.25">
      <c r="A683" t="s">
        <v>2885</v>
      </c>
      <c r="B683" t="s">
        <v>3883</v>
      </c>
      <c r="C683">
        <v>0.68100000000000105</v>
      </c>
      <c r="D683" t="s">
        <v>4203</v>
      </c>
    </row>
    <row r="684" spans="1:4" x14ac:dyDescent="0.25">
      <c r="A684" t="s">
        <v>2886</v>
      </c>
      <c r="B684" t="s">
        <v>3884</v>
      </c>
      <c r="C684">
        <v>0.68200000000000105</v>
      </c>
      <c r="D684" t="s">
        <v>4203</v>
      </c>
    </row>
    <row r="685" spans="1:4" x14ac:dyDescent="0.25">
      <c r="A685" t="s">
        <v>2887</v>
      </c>
      <c r="B685" t="s">
        <v>3885</v>
      </c>
      <c r="C685">
        <v>0.68300000000000105</v>
      </c>
      <c r="D685" t="s">
        <v>4203</v>
      </c>
    </row>
    <row r="686" spans="1:4" x14ac:dyDescent="0.25">
      <c r="A686" t="s">
        <v>2888</v>
      </c>
      <c r="B686" t="s">
        <v>3886</v>
      </c>
      <c r="C686">
        <v>0.68400000000000105</v>
      </c>
      <c r="D686" t="s">
        <v>4203</v>
      </c>
    </row>
    <row r="687" spans="1:4" x14ac:dyDescent="0.25">
      <c r="A687" t="s">
        <v>2889</v>
      </c>
      <c r="B687" t="s">
        <v>3887</v>
      </c>
      <c r="C687">
        <v>0.68500000000000105</v>
      </c>
      <c r="D687" t="s">
        <v>4203</v>
      </c>
    </row>
    <row r="688" spans="1:4" x14ac:dyDescent="0.25">
      <c r="A688" t="s">
        <v>2890</v>
      </c>
      <c r="B688" t="s">
        <v>3888</v>
      </c>
      <c r="C688">
        <v>0.68600000000000105</v>
      </c>
      <c r="D688" t="s">
        <v>4203</v>
      </c>
    </row>
    <row r="689" spans="1:4" x14ac:dyDescent="0.25">
      <c r="A689" t="s">
        <v>2891</v>
      </c>
      <c r="B689" t="s">
        <v>3889</v>
      </c>
      <c r="C689">
        <v>0.68700000000000105</v>
      </c>
      <c r="D689" t="s">
        <v>4203</v>
      </c>
    </row>
    <row r="690" spans="1:4" x14ac:dyDescent="0.25">
      <c r="A690" t="s">
        <v>2892</v>
      </c>
      <c r="B690" t="s">
        <v>3890</v>
      </c>
      <c r="C690">
        <v>0.68800000000000106</v>
      </c>
      <c r="D690" t="s">
        <v>4203</v>
      </c>
    </row>
    <row r="691" spans="1:4" x14ac:dyDescent="0.25">
      <c r="A691" t="s">
        <v>2893</v>
      </c>
      <c r="B691" t="s">
        <v>3891</v>
      </c>
      <c r="C691">
        <v>0.68900000000000095</v>
      </c>
      <c r="D691" t="s">
        <v>4203</v>
      </c>
    </row>
    <row r="692" spans="1:4" x14ac:dyDescent="0.25">
      <c r="A692" t="s">
        <v>2894</v>
      </c>
      <c r="B692" t="s">
        <v>3892</v>
      </c>
      <c r="C692">
        <v>0.69000000000000095</v>
      </c>
      <c r="D692" t="s">
        <v>4203</v>
      </c>
    </row>
    <row r="693" spans="1:4" x14ac:dyDescent="0.25">
      <c r="A693" t="s">
        <v>2895</v>
      </c>
      <c r="B693" t="s">
        <v>3893</v>
      </c>
      <c r="C693">
        <v>0.69100000000000095</v>
      </c>
      <c r="D693" t="s">
        <v>4203</v>
      </c>
    </row>
    <row r="694" spans="1:4" x14ac:dyDescent="0.25">
      <c r="A694" t="s">
        <v>2896</v>
      </c>
      <c r="B694" t="s">
        <v>3894</v>
      </c>
      <c r="C694">
        <v>0.69200000000000095</v>
      </c>
      <c r="D694" t="s">
        <v>4203</v>
      </c>
    </row>
    <row r="695" spans="1:4" x14ac:dyDescent="0.25">
      <c r="A695" t="s">
        <v>2897</v>
      </c>
      <c r="B695" t="s">
        <v>3895</v>
      </c>
      <c r="C695">
        <v>0.69300000000000095</v>
      </c>
      <c r="D695" t="s">
        <v>4203</v>
      </c>
    </row>
    <row r="696" spans="1:4" x14ac:dyDescent="0.25">
      <c r="A696" t="s">
        <v>2898</v>
      </c>
      <c r="B696" t="s">
        <v>3896</v>
      </c>
      <c r="C696">
        <v>0.69400000000000095</v>
      </c>
      <c r="D696" t="s">
        <v>4203</v>
      </c>
    </row>
    <row r="697" spans="1:4" x14ac:dyDescent="0.25">
      <c r="A697" t="s">
        <v>2899</v>
      </c>
      <c r="B697" t="s">
        <v>3897</v>
      </c>
      <c r="C697">
        <v>0.69500000000000095</v>
      </c>
      <c r="D697" t="s">
        <v>4203</v>
      </c>
    </row>
    <row r="698" spans="1:4" x14ac:dyDescent="0.25">
      <c r="A698" t="s">
        <v>2900</v>
      </c>
      <c r="B698" t="s">
        <v>3898</v>
      </c>
      <c r="C698">
        <v>0.69600000000000095</v>
      </c>
      <c r="D698" t="s">
        <v>4203</v>
      </c>
    </row>
    <row r="699" spans="1:4" x14ac:dyDescent="0.25">
      <c r="A699" t="s">
        <v>2901</v>
      </c>
      <c r="B699" t="s">
        <v>3899</v>
      </c>
      <c r="C699">
        <v>0.69700000000000095</v>
      </c>
      <c r="D699" t="s">
        <v>4203</v>
      </c>
    </row>
    <row r="700" spans="1:4" x14ac:dyDescent="0.25">
      <c r="A700" t="s">
        <v>2902</v>
      </c>
      <c r="B700" t="s">
        <v>3900</v>
      </c>
      <c r="C700">
        <v>0.69800000000000095</v>
      </c>
      <c r="D700" t="s">
        <v>4203</v>
      </c>
    </row>
    <row r="701" spans="1:4" x14ac:dyDescent="0.25">
      <c r="A701" t="s">
        <v>2903</v>
      </c>
      <c r="B701" t="s">
        <v>3901</v>
      </c>
      <c r="C701">
        <v>0.69900000000000095</v>
      </c>
      <c r="D701" t="s">
        <v>4203</v>
      </c>
    </row>
    <row r="702" spans="1:4" x14ac:dyDescent="0.25">
      <c r="A702" t="s">
        <v>2904</v>
      </c>
      <c r="B702" t="s">
        <v>3902</v>
      </c>
      <c r="C702">
        <v>0.70000000000000095</v>
      </c>
      <c r="D702" t="s">
        <v>4203</v>
      </c>
    </row>
    <row r="703" spans="1:4" x14ac:dyDescent="0.25">
      <c r="A703" t="s">
        <v>2905</v>
      </c>
      <c r="B703" t="s">
        <v>3903</v>
      </c>
      <c r="C703">
        <v>0.70100000000000096</v>
      </c>
      <c r="D703" t="s">
        <v>4203</v>
      </c>
    </row>
    <row r="704" spans="1:4" x14ac:dyDescent="0.25">
      <c r="A704" t="s">
        <v>2906</v>
      </c>
      <c r="B704" t="s">
        <v>3904</v>
      </c>
      <c r="C704">
        <v>0.70200000000000096</v>
      </c>
      <c r="D704" t="s">
        <v>4203</v>
      </c>
    </row>
    <row r="705" spans="1:4" x14ac:dyDescent="0.25">
      <c r="A705" t="s">
        <v>2907</v>
      </c>
      <c r="B705" t="s">
        <v>3905</v>
      </c>
      <c r="C705">
        <v>0.70300000000000096</v>
      </c>
      <c r="D705" t="s">
        <v>4203</v>
      </c>
    </row>
    <row r="706" spans="1:4" x14ac:dyDescent="0.25">
      <c r="A706" t="s">
        <v>2908</v>
      </c>
      <c r="B706" t="s">
        <v>3906</v>
      </c>
      <c r="C706">
        <v>0.70400000000000096</v>
      </c>
      <c r="D706" t="s">
        <v>4203</v>
      </c>
    </row>
    <row r="707" spans="1:4" x14ac:dyDescent="0.25">
      <c r="A707" t="s">
        <v>2909</v>
      </c>
      <c r="B707" t="s">
        <v>3907</v>
      </c>
      <c r="C707">
        <v>0.70500000000000096</v>
      </c>
      <c r="D707" t="s">
        <v>4203</v>
      </c>
    </row>
    <row r="708" spans="1:4" x14ac:dyDescent="0.25">
      <c r="A708" t="s">
        <v>2910</v>
      </c>
      <c r="B708" t="s">
        <v>3908</v>
      </c>
      <c r="C708">
        <v>0.70600000000000096</v>
      </c>
      <c r="D708" t="s">
        <v>4203</v>
      </c>
    </row>
    <row r="709" spans="1:4" x14ac:dyDescent="0.25">
      <c r="A709" t="s">
        <v>2911</v>
      </c>
      <c r="B709" t="s">
        <v>3909</v>
      </c>
      <c r="C709">
        <v>0.70700000000000096</v>
      </c>
      <c r="D709" t="s">
        <v>4203</v>
      </c>
    </row>
    <row r="710" spans="1:4" x14ac:dyDescent="0.25">
      <c r="A710" t="s">
        <v>2912</v>
      </c>
      <c r="B710" t="s">
        <v>3910</v>
      </c>
      <c r="C710">
        <v>0.70800000000000096</v>
      </c>
      <c r="D710" t="s">
        <v>4203</v>
      </c>
    </row>
    <row r="711" spans="1:4" x14ac:dyDescent="0.25">
      <c r="A711" t="s">
        <v>2913</v>
      </c>
      <c r="B711" t="s">
        <v>3911</v>
      </c>
      <c r="C711">
        <v>0.70900000000000096</v>
      </c>
      <c r="D711" t="s">
        <v>4203</v>
      </c>
    </row>
    <row r="712" spans="1:4" x14ac:dyDescent="0.25">
      <c r="A712" t="s">
        <v>2914</v>
      </c>
      <c r="B712" t="s">
        <v>3912</v>
      </c>
      <c r="C712">
        <v>0.71000000000000096</v>
      </c>
      <c r="D712" t="s">
        <v>4203</v>
      </c>
    </row>
    <row r="713" spans="1:4" x14ac:dyDescent="0.25">
      <c r="A713" t="s">
        <v>2915</v>
      </c>
      <c r="B713" t="s">
        <v>3913</v>
      </c>
      <c r="C713">
        <v>0.71100000000000096</v>
      </c>
      <c r="D713" t="s">
        <v>4203</v>
      </c>
    </row>
    <row r="714" spans="1:4" x14ac:dyDescent="0.25">
      <c r="A714" t="s">
        <v>2916</v>
      </c>
      <c r="B714" t="s">
        <v>3914</v>
      </c>
      <c r="C714">
        <v>0.71200000000000097</v>
      </c>
      <c r="D714" t="s">
        <v>4203</v>
      </c>
    </row>
    <row r="715" spans="1:4" x14ac:dyDescent="0.25">
      <c r="A715" t="s">
        <v>2917</v>
      </c>
      <c r="B715" t="s">
        <v>3915</v>
      </c>
      <c r="C715">
        <v>0.71300000000000097</v>
      </c>
      <c r="D715" t="s">
        <v>4203</v>
      </c>
    </row>
    <row r="716" spans="1:4" x14ac:dyDescent="0.25">
      <c r="A716" t="s">
        <v>2918</v>
      </c>
      <c r="B716" t="s">
        <v>3916</v>
      </c>
      <c r="C716">
        <v>0.71400000000000097</v>
      </c>
      <c r="D716" t="s">
        <v>4203</v>
      </c>
    </row>
    <row r="717" spans="1:4" x14ac:dyDescent="0.25">
      <c r="A717" t="s">
        <v>2919</v>
      </c>
      <c r="B717" t="s">
        <v>3917</v>
      </c>
      <c r="C717">
        <v>0.71500000000000097</v>
      </c>
      <c r="D717" t="s">
        <v>4203</v>
      </c>
    </row>
    <row r="718" spans="1:4" x14ac:dyDescent="0.25">
      <c r="A718" t="s">
        <v>2920</v>
      </c>
      <c r="B718" t="s">
        <v>3918</v>
      </c>
      <c r="C718">
        <v>0.71600000000000097</v>
      </c>
      <c r="D718" t="s">
        <v>4203</v>
      </c>
    </row>
    <row r="719" spans="1:4" x14ac:dyDescent="0.25">
      <c r="A719" t="s">
        <v>2921</v>
      </c>
      <c r="B719" t="s">
        <v>3919</v>
      </c>
      <c r="C719">
        <v>0.71700000000000097</v>
      </c>
      <c r="D719" t="s">
        <v>4203</v>
      </c>
    </row>
    <row r="720" spans="1:4" x14ac:dyDescent="0.25">
      <c r="A720" t="s">
        <v>2922</v>
      </c>
      <c r="B720" t="s">
        <v>3920</v>
      </c>
      <c r="C720">
        <v>0.71800000000000097</v>
      </c>
      <c r="D720" t="s">
        <v>4203</v>
      </c>
    </row>
    <row r="721" spans="1:4" x14ac:dyDescent="0.25">
      <c r="A721" t="s">
        <v>2923</v>
      </c>
      <c r="B721" t="s">
        <v>3921</v>
      </c>
      <c r="C721">
        <v>0.71900000000000097</v>
      </c>
      <c r="D721" t="s">
        <v>4203</v>
      </c>
    </row>
    <row r="722" spans="1:4" x14ac:dyDescent="0.25">
      <c r="A722" t="s">
        <v>2924</v>
      </c>
      <c r="B722" t="s">
        <v>3922</v>
      </c>
      <c r="C722">
        <v>0.72000000000000097</v>
      </c>
      <c r="D722" t="s">
        <v>4203</v>
      </c>
    </row>
    <row r="723" spans="1:4" x14ac:dyDescent="0.25">
      <c r="A723" t="s">
        <v>2925</v>
      </c>
      <c r="B723" t="s">
        <v>3923</v>
      </c>
      <c r="C723">
        <v>0.72100000000000097</v>
      </c>
      <c r="D723" t="s">
        <v>4203</v>
      </c>
    </row>
    <row r="724" spans="1:4" x14ac:dyDescent="0.25">
      <c r="A724" t="s">
        <v>2926</v>
      </c>
      <c r="B724" t="s">
        <v>3924</v>
      </c>
      <c r="C724">
        <v>0.72200000000000097</v>
      </c>
      <c r="D724" t="s">
        <v>4203</v>
      </c>
    </row>
    <row r="725" spans="1:4" x14ac:dyDescent="0.25">
      <c r="A725" t="s">
        <v>2927</v>
      </c>
      <c r="B725" t="s">
        <v>3925</v>
      </c>
      <c r="C725">
        <v>0.72300000000000098</v>
      </c>
      <c r="D725" t="s">
        <v>4203</v>
      </c>
    </row>
    <row r="726" spans="1:4" x14ac:dyDescent="0.25">
      <c r="A726" t="s">
        <v>2928</v>
      </c>
      <c r="B726" t="s">
        <v>3926</v>
      </c>
      <c r="C726">
        <v>0.72400000000000098</v>
      </c>
      <c r="D726" t="s">
        <v>4203</v>
      </c>
    </row>
    <row r="727" spans="1:4" x14ac:dyDescent="0.25">
      <c r="A727" t="s">
        <v>2929</v>
      </c>
      <c r="B727" t="s">
        <v>3927</v>
      </c>
      <c r="C727">
        <v>0.72500000000000098</v>
      </c>
      <c r="D727" t="s">
        <v>4203</v>
      </c>
    </row>
    <row r="728" spans="1:4" x14ac:dyDescent="0.25">
      <c r="A728" t="s">
        <v>2930</v>
      </c>
      <c r="B728" t="s">
        <v>3928</v>
      </c>
      <c r="C728">
        <v>0.72600000000000098</v>
      </c>
      <c r="D728" t="s">
        <v>4203</v>
      </c>
    </row>
    <row r="729" spans="1:4" x14ac:dyDescent="0.25">
      <c r="A729" t="s">
        <v>2931</v>
      </c>
      <c r="B729" t="s">
        <v>3929</v>
      </c>
      <c r="C729">
        <v>0.72700000000000098</v>
      </c>
      <c r="D729" t="s">
        <v>4203</v>
      </c>
    </row>
    <row r="730" spans="1:4" x14ac:dyDescent="0.25">
      <c r="A730" t="s">
        <v>2932</v>
      </c>
      <c r="B730" t="s">
        <v>3930</v>
      </c>
      <c r="C730">
        <v>0.72800000000000098</v>
      </c>
      <c r="D730" t="s">
        <v>4203</v>
      </c>
    </row>
    <row r="731" spans="1:4" x14ac:dyDescent="0.25">
      <c r="A731" t="s">
        <v>2933</v>
      </c>
      <c r="B731" t="s">
        <v>3931</v>
      </c>
      <c r="C731">
        <v>0.72900000000000098</v>
      </c>
      <c r="D731" t="s">
        <v>4203</v>
      </c>
    </row>
    <row r="732" spans="1:4" x14ac:dyDescent="0.25">
      <c r="A732" t="s">
        <v>2934</v>
      </c>
      <c r="B732" t="s">
        <v>3932</v>
      </c>
      <c r="C732">
        <v>0.73000000000000098</v>
      </c>
      <c r="D732" t="s">
        <v>4203</v>
      </c>
    </row>
    <row r="733" spans="1:4" x14ac:dyDescent="0.25">
      <c r="A733" t="s">
        <v>2935</v>
      </c>
      <c r="B733" t="s">
        <v>3933</v>
      </c>
      <c r="C733">
        <v>0.73100000000000098</v>
      </c>
      <c r="D733" t="s">
        <v>4203</v>
      </c>
    </row>
    <row r="734" spans="1:4" x14ac:dyDescent="0.25">
      <c r="A734" t="s">
        <v>2936</v>
      </c>
      <c r="B734" t="s">
        <v>3934</v>
      </c>
      <c r="C734">
        <v>0.73200000000000098</v>
      </c>
      <c r="D734" t="s">
        <v>4203</v>
      </c>
    </row>
    <row r="735" spans="1:4" x14ac:dyDescent="0.25">
      <c r="A735" t="s">
        <v>2937</v>
      </c>
      <c r="B735" t="s">
        <v>3935</v>
      </c>
      <c r="C735">
        <v>0.73300000000000098</v>
      </c>
      <c r="D735" t="s">
        <v>4203</v>
      </c>
    </row>
    <row r="736" spans="1:4" x14ac:dyDescent="0.25">
      <c r="A736" t="s">
        <v>2938</v>
      </c>
      <c r="B736" t="s">
        <v>3936</v>
      </c>
      <c r="C736">
        <v>0.73400000000000098</v>
      </c>
      <c r="D736" t="s">
        <v>4203</v>
      </c>
    </row>
    <row r="737" spans="1:4" x14ac:dyDescent="0.25">
      <c r="A737" t="s">
        <v>2939</v>
      </c>
      <c r="B737" t="s">
        <v>3937</v>
      </c>
      <c r="C737">
        <v>0.73500000000000099</v>
      </c>
      <c r="D737" t="s">
        <v>4203</v>
      </c>
    </row>
    <row r="738" spans="1:4" x14ac:dyDescent="0.25">
      <c r="A738" t="s">
        <v>2940</v>
      </c>
      <c r="B738" t="s">
        <v>3938</v>
      </c>
      <c r="C738">
        <v>0.73600000000000099</v>
      </c>
      <c r="D738" t="s">
        <v>4203</v>
      </c>
    </row>
    <row r="739" spans="1:4" x14ac:dyDescent="0.25">
      <c r="A739" t="s">
        <v>2941</v>
      </c>
      <c r="B739" t="s">
        <v>3939</v>
      </c>
      <c r="C739">
        <v>0.73700000000000099</v>
      </c>
      <c r="D739" t="s">
        <v>4203</v>
      </c>
    </row>
    <row r="740" spans="1:4" x14ac:dyDescent="0.25">
      <c r="A740" t="s">
        <v>2942</v>
      </c>
      <c r="B740" t="s">
        <v>3940</v>
      </c>
      <c r="C740">
        <v>0.73800000000000099</v>
      </c>
      <c r="D740" t="s">
        <v>4203</v>
      </c>
    </row>
    <row r="741" spans="1:4" x14ac:dyDescent="0.25">
      <c r="A741" t="s">
        <v>2943</v>
      </c>
      <c r="B741" t="s">
        <v>3941</v>
      </c>
      <c r="C741">
        <v>0.73900000000000099</v>
      </c>
      <c r="D741" t="s">
        <v>4203</v>
      </c>
    </row>
    <row r="742" spans="1:4" x14ac:dyDescent="0.25">
      <c r="A742" t="s">
        <v>2944</v>
      </c>
      <c r="B742" t="s">
        <v>3942</v>
      </c>
      <c r="C742">
        <v>0.74000000000000099</v>
      </c>
      <c r="D742" t="s">
        <v>4203</v>
      </c>
    </row>
    <row r="743" spans="1:4" x14ac:dyDescent="0.25">
      <c r="A743" t="s">
        <v>2945</v>
      </c>
      <c r="B743" t="s">
        <v>3943</v>
      </c>
      <c r="C743">
        <v>0.74100000000000099</v>
      </c>
      <c r="D743" t="s">
        <v>4203</v>
      </c>
    </row>
    <row r="744" spans="1:4" x14ac:dyDescent="0.25">
      <c r="A744" t="s">
        <v>2946</v>
      </c>
      <c r="B744" t="s">
        <v>3944</v>
      </c>
      <c r="C744">
        <v>0.74200000000000099</v>
      </c>
      <c r="D744" t="s">
        <v>4203</v>
      </c>
    </row>
    <row r="745" spans="1:4" x14ac:dyDescent="0.25">
      <c r="A745" t="s">
        <v>2947</v>
      </c>
      <c r="B745" t="s">
        <v>3945</v>
      </c>
      <c r="C745">
        <v>0.74300000000000099</v>
      </c>
      <c r="D745" t="s">
        <v>4203</v>
      </c>
    </row>
    <row r="746" spans="1:4" x14ac:dyDescent="0.25">
      <c r="A746" t="s">
        <v>2948</v>
      </c>
      <c r="B746" t="s">
        <v>3946</v>
      </c>
      <c r="C746">
        <v>0.74400000000000099</v>
      </c>
      <c r="D746" t="s">
        <v>4203</v>
      </c>
    </row>
    <row r="747" spans="1:4" x14ac:dyDescent="0.25">
      <c r="A747" t="s">
        <v>2949</v>
      </c>
      <c r="B747" t="s">
        <v>3947</v>
      </c>
      <c r="C747">
        <v>0.74500000000000099</v>
      </c>
      <c r="D747" t="s">
        <v>4203</v>
      </c>
    </row>
    <row r="748" spans="1:4" x14ac:dyDescent="0.25">
      <c r="A748" t="s">
        <v>2950</v>
      </c>
      <c r="B748" t="s">
        <v>3948</v>
      </c>
      <c r="C748">
        <v>0.746000000000001</v>
      </c>
      <c r="D748" t="s">
        <v>4203</v>
      </c>
    </row>
    <row r="749" spans="1:4" x14ac:dyDescent="0.25">
      <c r="A749" t="s">
        <v>2951</v>
      </c>
      <c r="B749" t="s">
        <v>3949</v>
      </c>
      <c r="C749">
        <v>0.747000000000001</v>
      </c>
      <c r="D749" t="s">
        <v>4203</v>
      </c>
    </row>
    <row r="750" spans="1:4" x14ac:dyDescent="0.25">
      <c r="A750" t="s">
        <v>2952</v>
      </c>
      <c r="B750" t="s">
        <v>3950</v>
      </c>
      <c r="C750">
        <v>0.748000000000001</v>
      </c>
      <c r="D750" t="s">
        <v>4203</v>
      </c>
    </row>
    <row r="751" spans="1:4" x14ac:dyDescent="0.25">
      <c r="A751" t="s">
        <v>2953</v>
      </c>
      <c r="B751" t="s">
        <v>3951</v>
      </c>
      <c r="C751">
        <v>0.749000000000001</v>
      </c>
      <c r="D751" t="s">
        <v>4203</v>
      </c>
    </row>
    <row r="752" spans="1:4" x14ac:dyDescent="0.25">
      <c r="A752" t="s">
        <v>2954</v>
      </c>
      <c r="B752" t="s">
        <v>3952</v>
      </c>
      <c r="C752">
        <v>0.750000000000001</v>
      </c>
      <c r="D752" t="s">
        <v>4203</v>
      </c>
    </row>
    <row r="753" spans="1:4" x14ac:dyDescent="0.25">
      <c r="A753" t="s">
        <v>2955</v>
      </c>
      <c r="B753" t="s">
        <v>3953</v>
      </c>
      <c r="C753">
        <v>0.751000000000001</v>
      </c>
      <c r="D753" t="s">
        <v>4203</v>
      </c>
    </row>
    <row r="754" spans="1:4" x14ac:dyDescent="0.25">
      <c r="A754" t="s">
        <v>2956</v>
      </c>
      <c r="B754" t="s">
        <v>3954</v>
      </c>
      <c r="C754">
        <v>0.752000000000001</v>
      </c>
      <c r="D754" t="s">
        <v>4203</v>
      </c>
    </row>
    <row r="755" spans="1:4" x14ac:dyDescent="0.25">
      <c r="A755" t="s">
        <v>2957</v>
      </c>
      <c r="B755" t="s">
        <v>3955</v>
      </c>
      <c r="C755">
        <v>0.753000000000001</v>
      </c>
      <c r="D755" t="s">
        <v>4203</v>
      </c>
    </row>
    <row r="756" spans="1:4" x14ac:dyDescent="0.25">
      <c r="A756" t="s">
        <v>2958</v>
      </c>
      <c r="B756" t="s">
        <v>3956</v>
      </c>
      <c r="C756">
        <v>0.754000000000001</v>
      </c>
      <c r="D756" t="s">
        <v>4203</v>
      </c>
    </row>
    <row r="757" spans="1:4" x14ac:dyDescent="0.25">
      <c r="A757" t="s">
        <v>2959</v>
      </c>
      <c r="B757" t="s">
        <v>3957</v>
      </c>
      <c r="C757">
        <v>0.755000000000001</v>
      </c>
      <c r="D757" t="s">
        <v>4203</v>
      </c>
    </row>
    <row r="758" spans="1:4" x14ac:dyDescent="0.25">
      <c r="A758" t="s">
        <v>2960</v>
      </c>
      <c r="B758" t="s">
        <v>3958</v>
      </c>
      <c r="C758">
        <v>0.756000000000001</v>
      </c>
      <c r="D758" t="s">
        <v>4203</v>
      </c>
    </row>
    <row r="759" spans="1:4" x14ac:dyDescent="0.25">
      <c r="A759" t="s">
        <v>2961</v>
      </c>
      <c r="B759" t="s">
        <v>3959</v>
      </c>
      <c r="C759">
        <v>0.75700000000000101</v>
      </c>
      <c r="D759" t="s">
        <v>4203</v>
      </c>
    </row>
    <row r="760" spans="1:4" x14ac:dyDescent="0.25">
      <c r="A760" t="s">
        <v>2962</v>
      </c>
      <c r="B760" t="s">
        <v>3960</v>
      </c>
      <c r="C760">
        <v>0.75800000000000101</v>
      </c>
      <c r="D760" t="s">
        <v>4203</v>
      </c>
    </row>
    <row r="761" spans="1:4" x14ac:dyDescent="0.25">
      <c r="A761" t="s">
        <v>2963</v>
      </c>
      <c r="B761" t="s">
        <v>3961</v>
      </c>
      <c r="C761">
        <v>0.75900000000000101</v>
      </c>
      <c r="D761" t="s">
        <v>4203</v>
      </c>
    </row>
    <row r="762" spans="1:4" x14ac:dyDescent="0.25">
      <c r="A762" t="s">
        <v>2964</v>
      </c>
      <c r="B762" t="s">
        <v>3962</v>
      </c>
      <c r="C762">
        <v>0.76000000000000101</v>
      </c>
      <c r="D762" t="s">
        <v>4203</v>
      </c>
    </row>
    <row r="763" spans="1:4" x14ac:dyDescent="0.25">
      <c r="A763" t="s">
        <v>2965</v>
      </c>
      <c r="B763" t="s">
        <v>3963</v>
      </c>
      <c r="C763">
        <v>0.76100000000000101</v>
      </c>
      <c r="D763" t="s">
        <v>4203</v>
      </c>
    </row>
    <row r="764" spans="1:4" x14ac:dyDescent="0.25">
      <c r="A764" t="s">
        <v>2966</v>
      </c>
      <c r="B764" t="s">
        <v>3964</v>
      </c>
      <c r="C764">
        <v>0.76200000000000101</v>
      </c>
      <c r="D764" t="s">
        <v>4203</v>
      </c>
    </row>
    <row r="765" spans="1:4" x14ac:dyDescent="0.25">
      <c r="A765" t="s">
        <v>2967</v>
      </c>
      <c r="B765" t="s">
        <v>3965</v>
      </c>
      <c r="C765">
        <v>0.76300000000000101</v>
      </c>
      <c r="D765" t="s">
        <v>4203</v>
      </c>
    </row>
    <row r="766" spans="1:4" x14ac:dyDescent="0.25">
      <c r="A766" t="s">
        <v>2968</v>
      </c>
      <c r="B766" t="s">
        <v>3966</v>
      </c>
      <c r="C766">
        <v>0.76400000000000101</v>
      </c>
      <c r="D766" t="s">
        <v>4203</v>
      </c>
    </row>
    <row r="767" spans="1:4" x14ac:dyDescent="0.25">
      <c r="A767" t="s">
        <v>2969</v>
      </c>
      <c r="B767" t="s">
        <v>3967</v>
      </c>
      <c r="C767">
        <v>0.76500000000000101</v>
      </c>
      <c r="D767" t="s">
        <v>4203</v>
      </c>
    </row>
    <row r="768" spans="1:4" x14ac:dyDescent="0.25">
      <c r="A768" t="s">
        <v>2970</v>
      </c>
      <c r="B768" t="s">
        <v>3968</v>
      </c>
      <c r="C768">
        <v>0.76600000000000101</v>
      </c>
      <c r="D768" t="s">
        <v>4203</v>
      </c>
    </row>
    <row r="769" spans="1:4" x14ac:dyDescent="0.25">
      <c r="A769" t="s">
        <v>2971</v>
      </c>
      <c r="B769" t="s">
        <v>3969</v>
      </c>
      <c r="C769">
        <v>0.76700000000000101</v>
      </c>
      <c r="D769" t="s">
        <v>4203</v>
      </c>
    </row>
    <row r="770" spans="1:4" x14ac:dyDescent="0.25">
      <c r="A770" t="s">
        <v>2972</v>
      </c>
      <c r="B770" t="s">
        <v>3970</v>
      </c>
      <c r="C770">
        <v>0.76800000000000102</v>
      </c>
      <c r="D770" t="s">
        <v>4203</v>
      </c>
    </row>
    <row r="771" spans="1:4" x14ac:dyDescent="0.25">
      <c r="A771" t="s">
        <v>2973</v>
      </c>
      <c r="B771" t="s">
        <v>3971</v>
      </c>
      <c r="C771">
        <v>0.76900000000000102</v>
      </c>
      <c r="D771" t="s">
        <v>4203</v>
      </c>
    </row>
    <row r="772" spans="1:4" x14ac:dyDescent="0.25">
      <c r="A772" t="s">
        <v>2974</v>
      </c>
      <c r="B772" t="s">
        <v>3972</v>
      </c>
      <c r="C772">
        <v>0.77000000000000102</v>
      </c>
      <c r="D772" t="s">
        <v>4203</v>
      </c>
    </row>
    <row r="773" spans="1:4" x14ac:dyDescent="0.25">
      <c r="A773" t="s">
        <v>2975</v>
      </c>
      <c r="B773" t="s">
        <v>3973</v>
      </c>
      <c r="C773">
        <v>0.77100000000000102</v>
      </c>
      <c r="D773" t="s">
        <v>4203</v>
      </c>
    </row>
    <row r="774" spans="1:4" x14ac:dyDescent="0.25">
      <c r="A774" t="s">
        <v>2976</v>
      </c>
      <c r="B774" t="s">
        <v>3974</v>
      </c>
      <c r="C774">
        <v>0.77200000000000102</v>
      </c>
      <c r="D774" t="s">
        <v>4203</v>
      </c>
    </row>
    <row r="775" spans="1:4" x14ac:dyDescent="0.25">
      <c r="A775" t="s">
        <v>2977</v>
      </c>
      <c r="B775" t="s">
        <v>3975</v>
      </c>
      <c r="C775">
        <v>0.77300000000000102</v>
      </c>
      <c r="D775" t="s">
        <v>4203</v>
      </c>
    </row>
    <row r="776" spans="1:4" x14ac:dyDescent="0.25">
      <c r="A776" t="s">
        <v>2978</v>
      </c>
      <c r="B776" t="s">
        <v>3976</v>
      </c>
      <c r="C776">
        <v>0.77400000000000102</v>
      </c>
      <c r="D776" t="s">
        <v>4203</v>
      </c>
    </row>
    <row r="777" spans="1:4" x14ac:dyDescent="0.25">
      <c r="A777" t="s">
        <v>2979</v>
      </c>
      <c r="B777" t="s">
        <v>3977</v>
      </c>
      <c r="C777">
        <v>0.77500000000000102</v>
      </c>
      <c r="D777" t="s">
        <v>4203</v>
      </c>
    </row>
    <row r="778" spans="1:4" x14ac:dyDescent="0.25">
      <c r="A778" t="s">
        <v>2980</v>
      </c>
      <c r="B778" t="s">
        <v>3978</v>
      </c>
      <c r="C778">
        <v>0.77600000000000102</v>
      </c>
      <c r="D778" t="s">
        <v>4203</v>
      </c>
    </row>
    <row r="779" spans="1:4" x14ac:dyDescent="0.25">
      <c r="A779" t="s">
        <v>2981</v>
      </c>
      <c r="B779" t="s">
        <v>3979</v>
      </c>
      <c r="C779">
        <v>0.77700000000000102</v>
      </c>
      <c r="D779" t="s">
        <v>4203</v>
      </c>
    </row>
    <row r="780" spans="1:4" x14ac:dyDescent="0.25">
      <c r="A780" t="s">
        <v>2982</v>
      </c>
      <c r="B780" t="s">
        <v>3980</v>
      </c>
      <c r="C780">
        <v>0.77800000000000102</v>
      </c>
      <c r="D780" t="s">
        <v>4203</v>
      </c>
    </row>
    <row r="781" spans="1:4" x14ac:dyDescent="0.25">
      <c r="A781" t="s">
        <v>2983</v>
      </c>
      <c r="B781" t="s">
        <v>3981</v>
      </c>
      <c r="C781">
        <v>0.77900000000000102</v>
      </c>
      <c r="D781" t="s">
        <v>4203</v>
      </c>
    </row>
    <row r="782" spans="1:4" x14ac:dyDescent="0.25">
      <c r="A782" t="s">
        <v>2984</v>
      </c>
      <c r="B782" t="s">
        <v>3982</v>
      </c>
      <c r="C782">
        <v>0.78000000000000103</v>
      </c>
      <c r="D782" t="s">
        <v>4203</v>
      </c>
    </row>
    <row r="783" spans="1:4" x14ac:dyDescent="0.25">
      <c r="A783" t="s">
        <v>2985</v>
      </c>
      <c r="B783" t="s">
        <v>3983</v>
      </c>
      <c r="C783">
        <v>0.78100000000000103</v>
      </c>
      <c r="D783" t="s">
        <v>4203</v>
      </c>
    </row>
    <row r="784" spans="1:4" x14ac:dyDescent="0.25">
      <c r="A784" t="s">
        <v>2986</v>
      </c>
      <c r="B784" t="s">
        <v>3984</v>
      </c>
      <c r="C784">
        <v>0.78200000000000103</v>
      </c>
      <c r="D784" t="s">
        <v>4203</v>
      </c>
    </row>
    <row r="785" spans="1:4" x14ac:dyDescent="0.25">
      <c r="A785" t="s">
        <v>2987</v>
      </c>
      <c r="B785" t="s">
        <v>3985</v>
      </c>
      <c r="C785">
        <v>0.78300000000000103</v>
      </c>
      <c r="D785" t="s">
        <v>4203</v>
      </c>
    </row>
    <row r="786" spans="1:4" x14ac:dyDescent="0.25">
      <c r="A786" t="s">
        <v>2988</v>
      </c>
      <c r="B786" t="s">
        <v>3986</v>
      </c>
      <c r="C786">
        <v>0.78400000000000103</v>
      </c>
      <c r="D786" t="s">
        <v>4203</v>
      </c>
    </row>
    <row r="787" spans="1:4" x14ac:dyDescent="0.25">
      <c r="A787" t="s">
        <v>2989</v>
      </c>
      <c r="B787" t="s">
        <v>3987</v>
      </c>
      <c r="C787">
        <v>0.78500000000000103</v>
      </c>
      <c r="D787" t="s">
        <v>4203</v>
      </c>
    </row>
    <row r="788" spans="1:4" x14ac:dyDescent="0.25">
      <c r="A788" t="s">
        <v>2990</v>
      </c>
      <c r="B788" t="s">
        <v>3988</v>
      </c>
      <c r="C788">
        <v>0.78600000000000103</v>
      </c>
      <c r="D788" t="s">
        <v>4203</v>
      </c>
    </row>
    <row r="789" spans="1:4" x14ac:dyDescent="0.25">
      <c r="A789" t="s">
        <v>2991</v>
      </c>
      <c r="B789" t="s">
        <v>3989</v>
      </c>
      <c r="C789">
        <v>0.78700000000000103</v>
      </c>
      <c r="D789" t="s">
        <v>4203</v>
      </c>
    </row>
    <row r="790" spans="1:4" x14ac:dyDescent="0.25">
      <c r="A790" t="s">
        <v>2992</v>
      </c>
      <c r="B790" t="s">
        <v>3990</v>
      </c>
      <c r="C790">
        <v>0.78800000000000103</v>
      </c>
      <c r="D790" t="s">
        <v>4203</v>
      </c>
    </row>
    <row r="791" spans="1:4" x14ac:dyDescent="0.25">
      <c r="A791" t="s">
        <v>2993</v>
      </c>
      <c r="B791" t="s">
        <v>3991</v>
      </c>
      <c r="C791">
        <v>0.78900000000000103</v>
      </c>
      <c r="D791" t="s">
        <v>4203</v>
      </c>
    </row>
    <row r="792" spans="1:4" x14ac:dyDescent="0.25">
      <c r="A792" t="s">
        <v>2994</v>
      </c>
      <c r="B792" t="s">
        <v>3992</v>
      </c>
      <c r="C792">
        <v>0.79000000000000103</v>
      </c>
      <c r="D792" t="s">
        <v>4203</v>
      </c>
    </row>
    <row r="793" spans="1:4" x14ac:dyDescent="0.25">
      <c r="A793" t="s">
        <v>2995</v>
      </c>
      <c r="B793" t="s">
        <v>3993</v>
      </c>
      <c r="C793">
        <v>0.79100000000000104</v>
      </c>
      <c r="D793" t="s">
        <v>4203</v>
      </c>
    </row>
    <row r="794" spans="1:4" x14ac:dyDescent="0.25">
      <c r="A794" t="s">
        <v>2996</v>
      </c>
      <c r="B794" t="s">
        <v>3994</v>
      </c>
      <c r="C794">
        <v>0.79200000000000104</v>
      </c>
      <c r="D794" t="s">
        <v>4203</v>
      </c>
    </row>
    <row r="795" spans="1:4" x14ac:dyDescent="0.25">
      <c r="A795" t="s">
        <v>2997</v>
      </c>
      <c r="B795" t="s">
        <v>3995</v>
      </c>
      <c r="C795">
        <v>0.79300000000000104</v>
      </c>
      <c r="D795" t="s">
        <v>4203</v>
      </c>
    </row>
    <row r="796" spans="1:4" x14ac:dyDescent="0.25">
      <c r="A796" t="s">
        <v>2998</v>
      </c>
      <c r="B796" t="s">
        <v>3996</v>
      </c>
      <c r="C796">
        <v>0.79400000000000104</v>
      </c>
      <c r="D796" t="s">
        <v>4203</v>
      </c>
    </row>
    <row r="797" spans="1:4" x14ac:dyDescent="0.25">
      <c r="A797" t="s">
        <v>2999</v>
      </c>
      <c r="B797" t="s">
        <v>3997</v>
      </c>
      <c r="C797">
        <v>0.79500000000000104</v>
      </c>
      <c r="D797" t="s">
        <v>4203</v>
      </c>
    </row>
    <row r="798" spans="1:4" x14ac:dyDescent="0.25">
      <c r="A798" t="s">
        <v>3000</v>
      </c>
      <c r="B798" t="s">
        <v>3998</v>
      </c>
      <c r="C798">
        <v>0.79600000000000104</v>
      </c>
      <c r="D798" t="s">
        <v>4203</v>
      </c>
    </row>
    <row r="799" spans="1:4" x14ac:dyDescent="0.25">
      <c r="A799" t="s">
        <v>3001</v>
      </c>
      <c r="B799" t="s">
        <v>3999</v>
      </c>
      <c r="C799">
        <v>0.79700000000000104</v>
      </c>
      <c r="D799" t="s">
        <v>4203</v>
      </c>
    </row>
    <row r="800" spans="1:4" x14ac:dyDescent="0.25">
      <c r="A800" t="s">
        <v>3002</v>
      </c>
      <c r="B800" t="s">
        <v>4000</v>
      </c>
      <c r="C800">
        <v>0.79800000000000104</v>
      </c>
      <c r="D800" t="s">
        <v>4203</v>
      </c>
    </row>
    <row r="801" spans="1:4" x14ac:dyDescent="0.25">
      <c r="A801" t="s">
        <v>3003</v>
      </c>
      <c r="B801" t="s">
        <v>4001</v>
      </c>
      <c r="C801">
        <v>0.79900000000000104</v>
      </c>
      <c r="D801" t="s">
        <v>4203</v>
      </c>
    </row>
    <row r="802" spans="1:4" x14ac:dyDescent="0.25">
      <c r="A802" t="s">
        <v>3004</v>
      </c>
      <c r="B802" t="s">
        <v>4002</v>
      </c>
      <c r="C802">
        <v>0.80000000000000104</v>
      </c>
      <c r="D802" t="s">
        <v>4203</v>
      </c>
    </row>
    <row r="803" spans="1:4" x14ac:dyDescent="0.25">
      <c r="A803" t="s">
        <v>3005</v>
      </c>
      <c r="B803" t="s">
        <v>4003</v>
      </c>
      <c r="C803">
        <v>0.80100000000000104</v>
      </c>
      <c r="D803" t="s">
        <v>4203</v>
      </c>
    </row>
    <row r="804" spans="1:4" x14ac:dyDescent="0.25">
      <c r="A804" t="s">
        <v>3006</v>
      </c>
      <c r="B804" t="s">
        <v>4004</v>
      </c>
      <c r="C804">
        <v>0.80200000000000105</v>
      </c>
      <c r="D804" t="s">
        <v>4203</v>
      </c>
    </row>
    <row r="805" spans="1:4" x14ac:dyDescent="0.25">
      <c r="A805" t="s">
        <v>3007</v>
      </c>
      <c r="B805" t="s">
        <v>4005</v>
      </c>
      <c r="C805">
        <v>0.80300000000000105</v>
      </c>
      <c r="D805" t="s">
        <v>4203</v>
      </c>
    </row>
    <row r="806" spans="1:4" x14ac:dyDescent="0.25">
      <c r="A806" t="s">
        <v>3008</v>
      </c>
      <c r="B806" t="s">
        <v>4006</v>
      </c>
      <c r="C806">
        <v>0.80400000000000105</v>
      </c>
      <c r="D806" t="s">
        <v>4203</v>
      </c>
    </row>
    <row r="807" spans="1:4" x14ac:dyDescent="0.25">
      <c r="A807" t="s">
        <v>3009</v>
      </c>
      <c r="B807" t="s">
        <v>4007</v>
      </c>
      <c r="C807">
        <v>0.80500000000000105</v>
      </c>
      <c r="D807" t="s">
        <v>4203</v>
      </c>
    </row>
    <row r="808" spans="1:4" x14ac:dyDescent="0.25">
      <c r="A808" t="s">
        <v>3010</v>
      </c>
      <c r="B808" t="s">
        <v>4008</v>
      </c>
      <c r="C808">
        <v>0.80600000000000105</v>
      </c>
      <c r="D808" t="s">
        <v>4203</v>
      </c>
    </row>
    <row r="809" spans="1:4" x14ac:dyDescent="0.25">
      <c r="A809" t="s">
        <v>3011</v>
      </c>
      <c r="B809" t="s">
        <v>4009</v>
      </c>
      <c r="C809">
        <v>0.80700000000000105</v>
      </c>
      <c r="D809" t="s">
        <v>4203</v>
      </c>
    </row>
    <row r="810" spans="1:4" x14ac:dyDescent="0.25">
      <c r="A810" t="s">
        <v>3012</v>
      </c>
      <c r="B810" t="s">
        <v>4010</v>
      </c>
      <c r="C810">
        <v>0.80800000000000105</v>
      </c>
      <c r="D810" t="s">
        <v>4203</v>
      </c>
    </row>
    <row r="811" spans="1:4" x14ac:dyDescent="0.25">
      <c r="A811" t="s">
        <v>3013</v>
      </c>
      <c r="B811" t="s">
        <v>4011</v>
      </c>
      <c r="C811">
        <v>0.80900000000000105</v>
      </c>
      <c r="D811" t="s">
        <v>4203</v>
      </c>
    </row>
    <row r="812" spans="1:4" x14ac:dyDescent="0.25">
      <c r="A812" t="s">
        <v>3014</v>
      </c>
      <c r="B812" t="s">
        <v>4012</v>
      </c>
      <c r="C812">
        <v>0.81000000000000105</v>
      </c>
      <c r="D812" t="s">
        <v>4203</v>
      </c>
    </row>
    <row r="813" spans="1:4" x14ac:dyDescent="0.25">
      <c r="A813" t="s">
        <v>3015</v>
      </c>
      <c r="B813" t="s">
        <v>4013</v>
      </c>
      <c r="C813">
        <v>0.81100000000000105</v>
      </c>
      <c r="D813" t="s">
        <v>4203</v>
      </c>
    </row>
    <row r="814" spans="1:4" x14ac:dyDescent="0.25">
      <c r="A814" t="s">
        <v>3016</v>
      </c>
      <c r="B814" t="s">
        <v>4014</v>
      </c>
      <c r="C814">
        <v>0.81200000000000105</v>
      </c>
      <c r="D814" t="s">
        <v>4203</v>
      </c>
    </row>
    <row r="815" spans="1:4" x14ac:dyDescent="0.25">
      <c r="A815" t="s">
        <v>3017</v>
      </c>
      <c r="B815" t="s">
        <v>4015</v>
      </c>
      <c r="C815">
        <v>0.81300000000000106</v>
      </c>
      <c r="D815" t="s">
        <v>4203</v>
      </c>
    </row>
    <row r="816" spans="1:4" x14ac:dyDescent="0.25">
      <c r="A816" t="s">
        <v>3018</v>
      </c>
      <c r="B816" t="s">
        <v>4016</v>
      </c>
      <c r="C816">
        <v>0.81400000000000095</v>
      </c>
      <c r="D816" t="s">
        <v>4203</v>
      </c>
    </row>
    <row r="817" spans="1:4" x14ac:dyDescent="0.25">
      <c r="A817" t="s">
        <v>3019</v>
      </c>
      <c r="B817" t="s">
        <v>4017</v>
      </c>
      <c r="C817">
        <v>0.81500000000000095</v>
      </c>
      <c r="D817" t="s">
        <v>4203</v>
      </c>
    </row>
    <row r="818" spans="1:4" x14ac:dyDescent="0.25">
      <c r="A818" t="s">
        <v>3020</v>
      </c>
      <c r="B818" t="s">
        <v>4018</v>
      </c>
      <c r="C818">
        <v>0.81600000000000095</v>
      </c>
      <c r="D818" t="s">
        <v>4203</v>
      </c>
    </row>
    <row r="819" spans="1:4" x14ac:dyDescent="0.25">
      <c r="A819" t="s">
        <v>3021</v>
      </c>
      <c r="B819" t="s">
        <v>4019</v>
      </c>
      <c r="C819">
        <v>0.81700000000000095</v>
      </c>
      <c r="D819" t="s">
        <v>4203</v>
      </c>
    </row>
    <row r="820" spans="1:4" x14ac:dyDescent="0.25">
      <c r="A820" t="s">
        <v>3022</v>
      </c>
      <c r="B820" t="s">
        <v>4020</v>
      </c>
      <c r="C820">
        <v>0.81800000000000095</v>
      </c>
      <c r="D820" t="s">
        <v>4203</v>
      </c>
    </row>
    <row r="821" spans="1:4" x14ac:dyDescent="0.25">
      <c r="A821" t="s">
        <v>3023</v>
      </c>
      <c r="B821" t="s">
        <v>4021</v>
      </c>
      <c r="C821">
        <v>0.81900000000000095</v>
      </c>
      <c r="D821" t="s">
        <v>4203</v>
      </c>
    </row>
    <row r="822" spans="1:4" x14ac:dyDescent="0.25">
      <c r="A822" t="s">
        <v>3024</v>
      </c>
      <c r="B822" t="s">
        <v>4022</v>
      </c>
      <c r="C822">
        <v>0.82000000000000095</v>
      </c>
      <c r="D822" t="s">
        <v>4203</v>
      </c>
    </row>
    <row r="823" spans="1:4" x14ac:dyDescent="0.25">
      <c r="A823" t="s">
        <v>3025</v>
      </c>
      <c r="B823" t="s">
        <v>4023</v>
      </c>
      <c r="C823">
        <v>0.82100000000000095</v>
      </c>
      <c r="D823" t="s">
        <v>4203</v>
      </c>
    </row>
    <row r="824" spans="1:4" x14ac:dyDescent="0.25">
      <c r="A824" t="s">
        <v>3026</v>
      </c>
      <c r="B824" t="s">
        <v>4024</v>
      </c>
      <c r="C824">
        <v>0.82200000000000095</v>
      </c>
      <c r="D824" t="s">
        <v>4203</v>
      </c>
    </row>
    <row r="825" spans="1:4" x14ac:dyDescent="0.25">
      <c r="A825" t="s">
        <v>3027</v>
      </c>
      <c r="B825" t="s">
        <v>4025</v>
      </c>
      <c r="C825">
        <v>0.82300000000000095</v>
      </c>
      <c r="D825" t="s">
        <v>4203</v>
      </c>
    </row>
    <row r="826" spans="1:4" x14ac:dyDescent="0.25">
      <c r="A826" t="s">
        <v>3028</v>
      </c>
      <c r="B826" t="s">
        <v>4026</v>
      </c>
      <c r="C826">
        <v>0.82400000000000095</v>
      </c>
      <c r="D826" t="s">
        <v>4203</v>
      </c>
    </row>
    <row r="827" spans="1:4" x14ac:dyDescent="0.25">
      <c r="A827" t="s">
        <v>3029</v>
      </c>
      <c r="B827" t="s">
        <v>4027</v>
      </c>
      <c r="C827">
        <v>0.82500000000000095</v>
      </c>
      <c r="D827" t="s">
        <v>4203</v>
      </c>
    </row>
    <row r="828" spans="1:4" x14ac:dyDescent="0.25">
      <c r="A828" t="s">
        <v>3030</v>
      </c>
      <c r="B828" t="s">
        <v>4028</v>
      </c>
      <c r="C828">
        <v>0.82600000000000096</v>
      </c>
      <c r="D828" t="s">
        <v>4203</v>
      </c>
    </row>
    <row r="829" spans="1:4" x14ac:dyDescent="0.25">
      <c r="A829" t="s">
        <v>3031</v>
      </c>
      <c r="B829" t="s">
        <v>4029</v>
      </c>
      <c r="C829">
        <v>0.82700000000000096</v>
      </c>
      <c r="D829" t="s">
        <v>4203</v>
      </c>
    </row>
    <row r="830" spans="1:4" x14ac:dyDescent="0.25">
      <c r="A830" t="s">
        <v>3032</v>
      </c>
      <c r="B830" t="s">
        <v>4030</v>
      </c>
      <c r="C830">
        <v>0.82800000000000096</v>
      </c>
      <c r="D830" t="s">
        <v>4203</v>
      </c>
    </row>
    <row r="831" spans="1:4" x14ac:dyDescent="0.25">
      <c r="A831" t="s">
        <v>3033</v>
      </c>
      <c r="B831" t="s">
        <v>4031</v>
      </c>
      <c r="C831">
        <v>0.82900000000000096</v>
      </c>
      <c r="D831" t="s">
        <v>4203</v>
      </c>
    </row>
    <row r="832" spans="1:4" x14ac:dyDescent="0.25">
      <c r="A832" t="s">
        <v>3034</v>
      </c>
      <c r="B832" t="s">
        <v>4032</v>
      </c>
      <c r="C832">
        <v>0.83000000000000096</v>
      </c>
      <c r="D832" t="s">
        <v>4203</v>
      </c>
    </row>
    <row r="833" spans="1:4" x14ac:dyDescent="0.25">
      <c r="A833" t="s">
        <v>3035</v>
      </c>
      <c r="B833" t="s">
        <v>4033</v>
      </c>
      <c r="C833">
        <v>0.83100000000000096</v>
      </c>
      <c r="D833" t="s">
        <v>4203</v>
      </c>
    </row>
    <row r="834" spans="1:4" x14ac:dyDescent="0.25">
      <c r="A834" t="s">
        <v>3036</v>
      </c>
      <c r="B834" t="s">
        <v>4034</v>
      </c>
      <c r="C834">
        <v>0.83200000000000096</v>
      </c>
      <c r="D834" t="s">
        <v>4203</v>
      </c>
    </row>
    <row r="835" spans="1:4" x14ac:dyDescent="0.25">
      <c r="A835" t="s">
        <v>3037</v>
      </c>
      <c r="B835" t="s">
        <v>4035</v>
      </c>
      <c r="C835">
        <v>0.83300000000000096</v>
      </c>
      <c r="D835" t="s">
        <v>4203</v>
      </c>
    </row>
    <row r="836" spans="1:4" x14ac:dyDescent="0.25">
      <c r="A836" t="s">
        <v>3038</v>
      </c>
      <c r="B836" t="s">
        <v>4036</v>
      </c>
      <c r="C836">
        <v>0.83400000000000096</v>
      </c>
      <c r="D836" t="s">
        <v>4203</v>
      </c>
    </row>
    <row r="837" spans="1:4" x14ac:dyDescent="0.25">
      <c r="A837" t="s">
        <v>3039</v>
      </c>
      <c r="B837" t="s">
        <v>4037</v>
      </c>
      <c r="C837">
        <v>0.83500000000000096</v>
      </c>
      <c r="D837" t="s">
        <v>4203</v>
      </c>
    </row>
    <row r="838" spans="1:4" x14ac:dyDescent="0.25">
      <c r="A838" t="s">
        <v>3040</v>
      </c>
      <c r="B838" t="s">
        <v>4038</v>
      </c>
      <c r="C838">
        <v>0.83600000000000096</v>
      </c>
      <c r="D838" t="s">
        <v>4203</v>
      </c>
    </row>
    <row r="839" spans="1:4" x14ac:dyDescent="0.25">
      <c r="A839" t="s">
        <v>3041</v>
      </c>
      <c r="B839" t="s">
        <v>4039</v>
      </c>
      <c r="C839">
        <v>0.83700000000000097</v>
      </c>
      <c r="D839" t="s">
        <v>4203</v>
      </c>
    </row>
    <row r="840" spans="1:4" x14ac:dyDescent="0.25">
      <c r="A840" t="s">
        <v>3042</v>
      </c>
      <c r="B840" t="s">
        <v>4040</v>
      </c>
      <c r="C840">
        <v>0.83800000000000097</v>
      </c>
      <c r="D840" t="s">
        <v>4203</v>
      </c>
    </row>
    <row r="841" spans="1:4" x14ac:dyDescent="0.25">
      <c r="A841" t="s">
        <v>3043</v>
      </c>
      <c r="B841" t="s">
        <v>4041</v>
      </c>
      <c r="C841">
        <v>0.83900000000000097</v>
      </c>
      <c r="D841" t="s">
        <v>4203</v>
      </c>
    </row>
    <row r="842" spans="1:4" x14ac:dyDescent="0.25">
      <c r="A842" t="s">
        <v>3044</v>
      </c>
      <c r="B842" t="s">
        <v>4042</v>
      </c>
      <c r="C842">
        <v>0.84000000000000097</v>
      </c>
      <c r="D842" t="s">
        <v>4203</v>
      </c>
    </row>
    <row r="843" spans="1:4" x14ac:dyDescent="0.25">
      <c r="A843" t="s">
        <v>3045</v>
      </c>
      <c r="B843" t="s">
        <v>4043</v>
      </c>
      <c r="C843">
        <v>0.84100000000000097</v>
      </c>
      <c r="D843" t="s">
        <v>4203</v>
      </c>
    </row>
    <row r="844" spans="1:4" x14ac:dyDescent="0.25">
      <c r="A844" t="s">
        <v>3046</v>
      </c>
      <c r="B844" t="s">
        <v>4044</v>
      </c>
      <c r="C844">
        <v>0.84200000000000097</v>
      </c>
      <c r="D844" t="s">
        <v>4203</v>
      </c>
    </row>
    <row r="845" spans="1:4" x14ac:dyDescent="0.25">
      <c r="A845" t="s">
        <v>3047</v>
      </c>
      <c r="B845" t="s">
        <v>4045</v>
      </c>
      <c r="C845">
        <v>0.84300000000000097</v>
      </c>
      <c r="D845" t="s">
        <v>4203</v>
      </c>
    </row>
    <row r="846" spans="1:4" x14ac:dyDescent="0.25">
      <c r="A846" t="s">
        <v>3048</v>
      </c>
      <c r="B846" t="s">
        <v>4046</v>
      </c>
      <c r="C846">
        <v>0.84400000000000097</v>
      </c>
      <c r="D846" t="s">
        <v>4203</v>
      </c>
    </row>
    <row r="847" spans="1:4" x14ac:dyDescent="0.25">
      <c r="A847" t="s">
        <v>3049</v>
      </c>
      <c r="B847" t="s">
        <v>4047</v>
      </c>
      <c r="C847">
        <v>0.84500000000000097</v>
      </c>
      <c r="D847" t="s">
        <v>4203</v>
      </c>
    </row>
    <row r="848" spans="1:4" x14ac:dyDescent="0.25">
      <c r="A848" t="s">
        <v>3050</v>
      </c>
      <c r="B848" t="s">
        <v>4048</v>
      </c>
      <c r="C848">
        <v>0.84600000000000097</v>
      </c>
      <c r="D848" t="s">
        <v>4203</v>
      </c>
    </row>
    <row r="849" spans="1:4" x14ac:dyDescent="0.25">
      <c r="A849" t="s">
        <v>3051</v>
      </c>
      <c r="B849" t="s">
        <v>4049</v>
      </c>
      <c r="C849">
        <v>0.84700000000000097</v>
      </c>
      <c r="D849" t="s">
        <v>4203</v>
      </c>
    </row>
    <row r="850" spans="1:4" x14ac:dyDescent="0.25">
      <c r="A850" t="s">
        <v>3052</v>
      </c>
      <c r="B850" t="s">
        <v>4050</v>
      </c>
      <c r="C850">
        <v>0.84800000000000098</v>
      </c>
      <c r="D850" t="s">
        <v>4203</v>
      </c>
    </row>
    <row r="851" spans="1:4" x14ac:dyDescent="0.25">
      <c r="A851" t="s">
        <v>3053</v>
      </c>
      <c r="B851" t="s">
        <v>4051</v>
      </c>
      <c r="C851">
        <v>0.84900000000000098</v>
      </c>
      <c r="D851" t="s">
        <v>4203</v>
      </c>
    </row>
    <row r="852" spans="1:4" x14ac:dyDescent="0.25">
      <c r="A852" t="s">
        <v>3054</v>
      </c>
      <c r="B852" t="s">
        <v>4052</v>
      </c>
      <c r="C852">
        <v>0.85000000000000098</v>
      </c>
      <c r="D852" t="s">
        <v>4203</v>
      </c>
    </row>
    <row r="853" spans="1:4" x14ac:dyDescent="0.25">
      <c r="A853" t="s">
        <v>3055</v>
      </c>
      <c r="B853" t="s">
        <v>4053</v>
      </c>
      <c r="C853">
        <v>0.85100000000000098</v>
      </c>
      <c r="D853" t="s">
        <v>4203</v>
      </c>
    </row>
    <row r="854" spans="1:4" x14ac:dyDescent="0.25">
      <c r="A854" t="s">
        <v>3056</v>
      </c>
      <c r="B854" t="s">
        <v>4054</v>
      </c>
      <c r="C854">
        <v>0.85200000000000098</v>
      </c>
      <c r="D854" t="s">
        <v>4203</v>
      </c>
    </row>
    <row r="855" spans="1:4" x14ac:dyDescent="0.25">
      <c r="A855" t="s">
        <v>3057</v>
      </c>
      <c r="B855" t="s">
        <v>4055</v>
      </c>
      <c r="C855">
        <v>0.85300000000000098</v>
      </c>
      <c r="D855" t="s">
        <v>4203</v>
      </c>
    </row>
    <row r="856" spans="1:4" x14ac:dyDescent="0.25">
      <c r="A856" t="s">
        <v>3058</v>
      </c>
      <c r="B856" t="s">
        <v>4056</v>
      </c>
      <c r="C856">
        <v>0.85400000000000098</v>
      </c>
      <c r="D856" t="s">
        <v>4203</v>
      </c>
    </row>
    <row r="857" spans="1:4" x14ac:dyDescent="0.25">
      <c r="A857" t="s">
        <v>3059</v>
      </c>
      <c r="B857" t="s">
        <v>4057</v>
      </c>
      <c r="C857">
        <v>0.85500000000000098</v>
      </c>
      <c r="D857" t="s">
        <v>4203</v>
      </c>
    </row>
    <row r="858" spans="1:4" x14ac:dyDescent="0.25">
      <c r="A858" t="s">
        <v>3060</v>
      </c>
      <c r="B858" t="s">
        <v>4058</v>
      </c>
      <c r="C858">
        <v>0.85600000000000098</v>
      </c>
      <c r="D858" t="s">
        <v>4203</v>
      </c>
    </row>
    <row r="859" spans="1:4" x14ac:dyDescent="0.25">
      <c r="A859" t="s">
        <v>3061</v>
      </c>
      <c r="B859" t="s">
        <v>4059</v>
      </c>
      <c r="C859">
        <v>0.85700000000000098</v>
      </c>
      <c r="D859" t="s">
        <v>4203</v>
      </c>
    </row>
    <row r="860" spans="1:4" x14ac:dyDescent="0.25">
      <c r="A860" t="s">
        <v>3062</v>
      </c>
      <c r="B860" t="s">
        <v>4060</v>
      </c>
      <c r="C860">
        <v>0.85800000000000098</v>
      </c>
      <c r="D860" t="s">
        <v>4203</v>
      </c>
    </row>
    <row r="861" spans="1:4" x14ac:dyDescent="0.25">
      <c r="A861" t="s">
        <v>3063</v>
      </c>
      <c r="B861" t="s">
        <v>4061</v>
      </c>
      <c r="C861">
        <v>0.85900000000000098</v>
      </c>
      <c r="D861" t="s">
        <v>4203</v>
      </c>
    </row>
    <row r="862" spans="1:4" x14ac:dyDescent="0.25">
      <c r="A862" t="s">
        <v>3064</v>
      </c>
      <c r="B862" t="s">
        <v>4062</v>
      </c>
      <c r="C862">
        <v>0.86000000000000099</v>
      </c>
      <c r="D862" t="s">
        <v>4203</v>
      </c>
    </row>
    <row r="863" spans="1:4" x14ac:dyDescent="0.25">
      <c r="A863" t="s">
        <v>3065</v>
      </c>
      <c r="B863" t="s">
        <v>4063</v>
      </c>
      <c r="C863">
        <v>0.86100000000000099</v>
      </c>
      <c r="D863" t="s">
        <v>4203</v>
      </c>
    </row>
    <row r="864" spans="1:4" x14ac:dyDescent="0.25">
      <c r="A864" t="s">
        <v>3066</v>
      </c>
      <c r="B864" t="s">
        <v>4064</v>
      </c>
      <c r="C864">
        <v>0.86200000000000099</v>
      </c>
      <c r="D864" t="s">
        <v>4203</v>
      </c>
    </row>
    <row r="865" spans="1:4" x14ac:dyDescent="0.25">
      <c r="A865" t="s">
        <v>3067</v>
      </c>
      <c r="B865" t="s">
        <v>4065</v>
      </c>
      <c r="C865">
        <v>0.86300000000000099</v>
      </c>
      <c r="D865" t="s">
        <v>4203</v>
      </c>
    </row>
    <row r="866" spans="1:4" x14ac:dyDescent="0.25">
      <c r="A866" t="s">
        <v>3068</v>
      </c>
      <c r="B866" t="s">
        <v>4066</v>
      </c>
      <c r="C866">
        <v>0.86400000000000099</v>
      </c>
      <c r="D866" t="s">
        <v>4203</v>
      </c>
    </row>
    <row r="867" spans="1:4" x14ac:dyDescent="0.25">
      <c r="A867" t="s">
        <v>3069</v>
      </c>
      <c r="B867" t="s">
        <v>4067</v>
      </c>
      <c r="C867">
        <v>0.86500000000000099</v>
      </c>
      <c r="D867" t="s">
        <v>4203</v>
      </c>
    </row>
    <row r="868" spans="1:4" x14ac:dyDescent="0.25">
      <c r="A868" t="s">
        <v>3070</v>
      </c>
      <c r="B868" t="s">
        <v>4068</v>
      </c>
      <c r="C868">
        <v>0.86600000000000099</v>
      </c>
      <c r="D868" t="s">
        <v>4203</v>
      </c>
    </row>
    <row r="869" spans="1:4" x14ac:dyDescent="0.25">
      <c r="A869" t="s">
        <v>3071</v>
      </c>
      <c r="B869" t="s">
        <v>4069</v>
      </c>
      <c r="C869">
        <v>0.86700000000000099</v>
      </c>
      <c r="D869" t="s">
        <v>4203</v>
      </c>
    </row>
    <row r="870" spans="1:4" x14ac:dyDescent="0.25">
      <c r="A870" t="s">
        <v>3072</v>
      </c>
      <c r="B870" t="s">
        <v>4070</v>
      </c>
      <c r="C870">
        <v>0.86800000000000099</v>
      </c>
      <c r="D870" t="s">
        <v>4203</v>
      </c>
    </row>
    <row r="871" spans="1:4" x14ac:dyDescent="0.25">
      <c r="A871" t="s">
        <v>3073</v>
      </c>
      <c r="B871" t="s">
        <v>4071</v>
      </c>
      <c r="C871">
        <v>0.86900000000000099</v>
      </c>
      <c r="D871" t="s">
        <v>4203</v>
      </c>
    </row>
    <row r="872" spans="1:4" x14ac:dyDescent="0.25">
      <c r="A872" t="s">
        <v>3074</v>
      </c>
      <c r="B872" t="s">
        <v>4072</v>
      </c>
      <c r="C872">
        <v>0.87000000000000099</v>
      </c>
      <c r="D872" t="s">
        <v>4203</v>
      </c>
    </row>
    <row r="873" spans="1:4" x14ac:dyDescent="0.25">
      <c r="A873" t="s">
        <v>3075</v>
      </c>
      <c r="B873" t="s">
        <v>4073</v>
      </c>
      <c r="C873">
        <v>0.871000000000001</v>
      </c>
      <c r="D873" t="s">
        <v>4203</v>
      </c>
    </row>
    <row r="874" spans="1:4" x14ac:dyDescent="0.25">
      <c r="A874" t="s">
        <v>3076</v>
      </c>
      <c r="B874" t="s">
        <v>4074</v>
      </c>
      <c r="C874">
        <v>0.872000000000001</v>
      </c>
      <c r="D874" t="s">
        <v>4203</v>
      </c>
    </row>
    <row r="875" spans="1:4" x14ac:dyDescent="0.25">
      <c r="A875" t="s">
        <v>3077</v>
      </c>
      <c r="B875" t="s">
        <v>4075</v>
      </c>
      <c r="C875">
        <v>0.873000000000001</v>
      </c>
      <c r="D875" t="s">
        <v>4203</v>
      </c>
    </row>
    <row r="876" spans="1:4" x14ac:dyDescent="0.25">
      <c r="A876" t="s">
        <v>3078</v>
      </c>
      <c r="B876" t="s">
        <v>4076</v>
      </c>
      <c r="C876">
        <v>0.874000000000001</v>
      </c>
      <c r="D876" t="s">
        <v>4203</v>
      </c>
    </row>
    <row r="877" spans="1:4" x14ac:dyDescent="0.25">
      <c r="A877" t="s">
        <v>3079</v>
      </c>
      <c r="B877" t="s">
        <v>4077</v>
      </c>
      <c r="C877">
        <v>0.875000000000001</v>
      </c>
      <c r="D877" t="s">
        <v>4203</v>
      </c>
    </row>
    <row r="878" spans="1:4" x14ac:dyDescent="0.25">
      <c r="A878" t="s">
        <v>3080</v>
      </c>
      <c r="B878" t="s">
        <v>4078</v>
      </c>
      <c r="C878">
        <v>0.876000000000001</v>
      </c>
      <c r="D878" t="s">
        <v>4203</v>
      </c>
    </row>
    <row r="879" spans="1:4" x14ac:dyDescent="0.25">
      <c r="A879" t="s">
        <v>3081</v>
      </c>
      <c r="B879" t="s">
        <v>4079</v>
      </c>
      <c r="C879">
        <v>0.877000000000001</v>
      </c>
      <c r="D879" t="s">
        <v>4203</v>
      </c>
    </row>
    <row r="880" spans="1:4" x14ac:dyDescent="0.25">
      <c r="A880" t="s">
        <v>3082</v>
      </c>
      <c r="B880" t="s">
        <v>4080</v>
      </c>
      <c r="C880">
        <v>0.878000000000001</v>
      </c>
      <c r="D880" t="s">
        <v>4203</v>
      </c>
    </row>
    <row r="881" spans="1:4" x14ac:dyDescent="0.25">
      <c r="A881" t="s">
        <v>3083</v>
      </c>
      <c r="B881" t="s">
        <v>4081</v>
      </c>
      <c r="C881">
        <v>0.879000000000001</v>
      </c>
      <c r="D881" t="s">
        <v>4203</v>
      </c>
    </row>
    <row r="882" spans="1:4" x14ac:dyDescent="0.25">
      <c r="A882" t="s">
        <v>3084</v>
      </c>
      <c r="B882" t="s">
        <v>4082</v>
      </c>
      <c r="C882">
        <v>0.880000000000001</v>
      </c>
      <c r="D882" t="s">
        <v>4203</v>
      </c>
    </row>
    <row r="883" spans="1:4" x14ac:dyDescent="0.25">
      <c r="A883" t="s">
        <v>3085</v>
      </c>
      <c r="B883" t="s">
        <v>4083</v>
      </c>
      <c r="C883">
        <v>0.881000000000001</v>
      </c>
      <c r="D883" t="s">
        <v>4203</v>
      </c>
    </row>
    <row r="884" spans="1:4" x14ac:dyDescent="0.25">
      <c r="A884" t="s">
        <v>3086</v>
      </c>
      <c r="B884" t="s">
        <v>4084</v>
      </c>
      <c r="C884">
        <v>0.88200000000000101</v>
      </c>
      <c r="D884" t="s">
        <v>4203</v>
      </c>
    </row>
    <row r="885" spans="1:4" x14ac:dyDescent="0.25">
      <c r="A885" t="s">
        <v>3087</v>
      </c>
      <c r="B885" t="s">
        <v>4085</v>
      </c>
      <c r="C885">
        <v>0.88300000000000101</v>
      </c>
      <c r="D885" t="s">
        <v>4203</v>
      </c>
    </row>
    <row r="886" spans="1:4" x14ac:dyDescent="0.25">
      <c r="A886" t="s">
        <v>3088</v>
      </c>
      <c r="B886" t="s">
        <v>4086</v>
      </c>
      <c r="C886">
        <v>0.88400000000000101</v>
      </c>
      <c r="D886" t="s">
        <v>4203</v>
      </c>
    </row>
    <row r="887" spans="1:4" x14ac:dyDescent="0.25">
      <c r="A887" t="s">
        <v>3089</v>
      </c>
      <c r="B887" t="s">
        <v>4087</v>
      </c>
      <c r="C887">
        <v>0.88500000000000101</v>
      </c>
      <c r="D887" t="s">
        <v>4203</v>
      </c>
    </row>
    <row r="888" spans="1:4" x14ac:dyDescent="0.25">
      <c r="A888" t="s">
        <v>3090</v>
      </c>
      <c r="B888" t="s">
        <v>4088</v>
      </c>
      <c r="C888">
        <v>0.88600000000000101</v>
      </c>
      <c r="D888" t="s">
        <v>4203</v>
      </c>
    </row>
    <row r="889" spans="1:4" x14ac:dyDescent="0.25">
      <c r="A889" t="s">
        <v>3091</v>
      </c>
      <c r="B889" t="s">
        <v>4089</v>
      </c>
      <c r="C889">
        <v>0.88700000000000101</v>
      </c>
      <c r="D889" t="s">
        <v>4203</v>
      </c>
    </row>
    <row r="890" spans="1:4" x14ac:dyDescent="0.25">
      <c r="A890" t="s">
        <v>3092</v>
      </c>
      <c r="B890" t="s">
        <v>4090</v>
      </c>
      <c r="C890">
        <v>0.88800000000000101</v>
      </c>
      <c r="D890" t="s">
        <v>4203</v>
      </c>
    </row>
    <row r="891" spans="1:4" x14ac:dyDescent="0.25">
      <c r="A891" t="s">
        <v>3093</v>
      </c>
      <c r="B891" t="s">
        <v>4091</v>
      </c>
      <c r="C891">
        <v>0.88900000000000101</v>
      </c>
      <c r="D891" t="s">
        <v>4203</v>
      </c>
    </row>
    <row r="892" spans="1:4" x14ac:dyDescent="0.25">
      <c r="A892" t="s">
        <v>3094</v>
      </c>
      <c r="B892" t="s">
        <v>4092</v>
      </c>
      <c r="C892">
        <v>0.89000000000000101</v>
      </c>
      <c r="D892" t="s">
        <v>4203</v>
      </c>
    </row>
    <row r="893" spans="1:4" x14ac:dyDescent="0.25">
      <c r="A893" t="s">
        <v>3095</v>
      </c>
      <c r="B893" t="s">
        <v>4093</v>
      </c>
      <c r="C893">
        <v>0.89100000000000101</v>
      </c>
      <c r="D893" t="s">
        <v>4203</v>
      </c>
    </row>
    <row r="894" spans="1:4" x14ac:dyDescent="0.25">
      <c r="A894" t="s">
        <v>3096</v>
      </c>
      <c r="B894" t="s">
        <v>4094</v>
      </c>
      <c r="C894">
        <v>0.89200000000000101</v>
      </c>
      <c r="D894" t="s">
        <v>4203</v>
      </c>
    </row>
    <row r="895" spans="1:4" x14ac:dyDescent="0.25">
      <c r="A895" t="s">
        <v>3097</v>
      </c>
      <c r="B895" t="s">
        <v>4095</v>
      </c>
      <c r="C895">
        <v>0.89300000000000102</v>
      </c>
      <c r="D895" t="s">
        <v>4203</v>
      </c>
    </row>
    <row r="896" spans="1:4" x14ac:dyDescent="0.25">
      <c r="A896" t="s">
        <v>3098</v>
      </c>
      <c r="B896" t="s">
        <v>4096</v>
      </c>
      <c r="C896">
        <v>0.89400000000000102</v>
      </c>
      <c r="D896" t="s">
        <v>4203</v>
      </c>
    </row>
    <row r="897" spans="1:4" x14ac:dyDescent="0.25">
      <c r="A897" t="s">
        <v>3099</v>
      </c>
      <c r="B897" t="s">
        <v>4097</v>
      </c>
      <c r="C897">
        <v>0.89500000000000102</v>
      </c>
      <c r="D897" t="s">
        <v>4203</v>
      </c>
    </row>
    <row r="898" spans="1:4" x14ac:dyDescent="0.25">
      <c r="A898" t="s">
        <v>3100</v>
      </c>
      <c r="B898" t="s">
        <v>4098</v>
      </c>
      <c r="C898">
        <v>0.89600000000000102</v>
      </c>
      <c r="D898" t="s">
        <v>4203</v>
      </c>
    </row>
    <row r="899" spans="1:4" x14ac:dyDescent="0.25">
      <c r="A899" t="s">
        <v>3101</v>
      </c>
      <c r="B899" t="s">
        <v>4099</v>
      </c>
      <c r="C899">
        <v>0.89700000000000102</v>
      </c>
      <c r="D899" t="s">
        <v>4203</v>
      </c>
    </row>
    <row r="900" spans="1:4" x14ac:dyDescent="0.25">
      <c r="A900" t="s">
        <v>3102</v>
      </c>
      <c r="B900" t="s">
        <v>4100</v>
      </c>
      <c r="C900">
        <v>0.89800000000000102</v>
      </c>
      <c r="D900" t="s">
        <v>4203</v>
      </c>
    </row>
    <row r="901" spans="1:4" x14ac:dyDescent="0.25">
      <c r="A901" t="s">
        <v>3103</v>
      </c>
      <c r="B901" t="s">
        <v>4101</v>
      </c>
      <c r="C901">
        <v>0.89900000000000102</v>
      </c>
      <c r="D901" t="s">
        <v>4203</v>
      </c>
    </row>
    <row r="902" spans="1:4" x14ac:dyDescent="0.25">
      <c r="A902" t="s">
        <v>3104</v>
      </c>
      <c r="B902" t="s">
        <v>4102</v>
      </c>
      <c r="C902">
        <v>0.90000000000000102</v>
      </c>
      <c r="D902" t="s">
        <v>4203</v>
      </c>
    </row>
    <row r="903" spans="1:4" x14ac:dyDescent="0.25">
      <c r="A903" t="s">
        <v>3105</v>
      </c>
      <c r="B903" t="s">
        <v>4103</v>
      </c>
      <c r="C903">
        <v>0.90100000000000102</v>
      </c>
      <c r="D903" t="s">
        <v>4203</v>
      </c>
    </row>
    <row r="904" spans="1:4" x14ac:dyDescent="0.25">
      <c r="A904" t="s">
        <v>3106</v>
      </c>
      <c r="B904" t="s">
        <v>4104</v>
      </c>
      <c r="C904">
        <v>0.90200000000000102</v>
      </c>
      <c r="D904" t="s">
        <v>4203</v>
      </c>
    </row>
    <row r="905" spans="1:4" x14ac:dyDescent="0.25">
      <c r="A905" t="s">
        <v>3107</v>
      </c>
      <c r="B905" t="s">
        <v>4105</v>
      </c>
      <c r="C905">
        <v>0.90300000000000102</v>
      </c>
      <c r="D905" t="s">
        <v>4203</v>
      </c>
    </row>
    <row r="906" spans="1:4" x14ac:dyDescent="0.25">
      <c r="A906" t="s">
        <v>3108</v>
      </c>
      <c r="B906" t="s">
        <v>4106</v>
      </c>
      <c r="C906">
        <v>0.90400000000000102</v>
      </c>
      <c r="D906" t="s">
        <v>4203</v>
      </c>
    </row>
    <row r="907" spans="1:4" x14ac:dyDescent="0.25">
      <c r="A907" t="s">
        <v>3109</v>
      </c>
      <c r="B907" t="s">
        <v>4107</v>
      </c>
      <c r="C907">
        <v>0.90500000000000103</v>
      </c>
      <c r="D907" t="s">
        <v>4203</v>
      </c>
    </row>
    <row r="908" spans="1:4" x14ac:dyDescent="0.25">
      <c r="A908" t="s">
        <v>3110</v>
      </c>
      <c r="B908" t="s">
        <v>4108</v>
      </c>
      <c r="C908">
        <v>0.90600000000000103</v>
      </c>
      <c r="D908" t="s">
        <v>4203</v>
      </c>
    </row>
    <row r="909" spans="1:4" x14ac:dyDescent="0.25">
      <c r="A909" t="s">
        <v>3111</v>
      </c>
      <c r="B909" t="s">
        <v>4109</v>
      </c>
      <c r="C909">
        <v>0.90700000000000103</v>
      </c>
      <c r="D909" t="s">
        <v>4203</v>
      </c>
    </row>
    <row r="910" spans="1:4" x14ac:dyDescent="0.25">
      <c r="A910" t="s">
        <v>3112</v>
      </c>
      <c r="B910" t="s">
        <v>4110</v>
      </c>
      <c r="C910">
        <v>0.90800000000000103</v>
      </c>
      <c r="D910" t="s">
        <v>4203</v>
      </c>
    </row>
    <row r="911" spans="1:4" x14ac:dyDescent="0.25">
      <c r="A911" t="s">
        <v>3113</v>
      </c>
      <c r="B911" t="s">
        <v>4111</v>
      </c>
      <c r="C911">
        <v>0.90900000000000103</v>
      </c>
      <c r="D911" t="s">
        <v>4203</v>
      </c>
    </row>
    <row r="912" spans="1:4" x14ac:dyDescent="0.25">
      <c r="A912" t="s">
        <v>3114</v>
      </c>
      <c r="B912" t="s">
        <v>4112</v>
      </c>
      <c r="C912">
        <v>0.91000000000000103</v>
      </c>
      <c r="D912" t="s">
        <v>4203</v>
      </c>
    </row>
    <row r="913" spans="1:4" x14ac:dyDescent="0.25">
      <c r="A913" t="s">
        <v>3115</v>
      </c>
      <c r="B913" t="s">
        <v>4113</v>
      </c>
      <c r="C913">
        <v>0.91100000000000103</v>
      </c>
      <c r="D913" t="s">
        <v>4203</v>
      </c>
    </row>
    <row r="914" spans="1:4" x14ac:dyDescent="0.25">
      <c r="A914" t="s">
        <v>3116</v>
      </c>
      <c r="B914" t="s">
        <v>4114</v>
      </c>
      <c r="C914">
        <v>0.91200000000000103</v>
      </c>
      <c r="D914" t="s">
        <v>4203</v>
      </c>
    </row>
    <row r="915" spans="1:4" x14ac:dyDescent="0.25">
      <c r="A915" t="s">
        <v>3117</v>
      </c>
      <c r="B915" t="s">
        <v>4115</v>
      </c>
      <c r="C915">
        <v>0.91300000000000103</v>
      </c>
      <c r="D915" t="s">
        <v>4203</v>
      </c>
    </row>
    <row r="916" spans="1:4" x14ac:dyDescent="0.25">
      <c r="A916" t="s">
        <v>3118</v>
      </c>
      <c r="B916" t="s">
        <v>4116</v>
      </c>
      <c r="C916">
        <v>0.91400000000000103</v>
      </c>
      <c r="D916" t="s">
        <v>4203</v>
      </c>
    </row>
    <row r="917" spans="1:4" x14ac:dyDescent="0.25">
      <c r="A917" t="s">
        <v>3119</v>
      </c>
      <c r="B917" t="s">
        <v>4117</v>
      </c>
      <c r="C917">
        <v>0.91500000000000103</v>
      </c>
      <c r="D917" t="s">
        <v>4203</v>
      </c>
    </row>
    <row r="918" spans="1:4" x14ac:dyDescent="0.25">
      <c r="A918" t="s">
        <v>3120</v>
      </c>
      <c r="B918" t="s">
        <v>4118</v>
      </c>
      <c r="C918">
        <v>0.91600000000000104</v>
      </c>
      <c r="D918" t="s">
        <v>4203</v>
      </c>
    </row>
    <row r="919" spans="1:4" x14ac:dyDescent="0.25">
      <c r="A919" t="s">
        <v>3121</v>
      </c>
      <c r="B919" t="s">
        <v>4119</v>
      </c>
      <c r="C919">
        <v>0.91700000000000104</v>
      </c>
      <c r="D919" t="s">
        <v>4203</v>
      </c>
    </row>
    <row r="920" spans="1:4" x14ac:dyDescent="0.25">
      <c r="A920" t="s">
        <v>3122</v>
      </c>
      <c r="B920" t="s">
        <v>4120</v>
      </c>
      <c r="C920">
        <v>0.91800000000000104</v>
      </c>
      <c r="D920" t="s">
        <v>4203</v>
      </c>
    </row>
    <row r="921" spans="1:4" x14ac:dyDescent="0.25">
      <c r="A921" t="s">
        <v>3123</v>
      </c>
      <c r="B921" t="s">
        <v>4121</v>
      </c>
      <c r="C921">
        <v>0.91900000000000104</v>
      </c>
      <c r="D921" t="s">
        <v>4203</v>
      </c>
    </row>
    <row r="922" spans="1:4" x14ac:dyDescent="0.25">
      <c r="A922" t="s">
        <v>3124</v>
      </c>
      <c r="B922" t="s">
        <v>4122</v>
      </c>
      <c r="C922">
        <v>0.92000000000000104</v>
      </c>
      <c r="D922" t="s">
        <v>4203</v>
      </c>
    </row>
    <row r="923" spans="1:4" x14ac:dyDescent="0.25">
      <c r="A923" t="s">
        <v>3125</v>
      </c>
      <c r="B923" t="s">
        <v>4123</v>
      </c>
      <c r="C923">
        <v>0.92100000000000104</v>
      </c>
      <c r="D923" t="s">
        <v>4203</v>
      </c>
    </row>
    <row r="924" spans="1:4" x14ac:dyDescent="0.25">
      <c r="A924" t="s">
        <v>3126</v>
      </c>
      <c r="B924" t="s">
        <v>4124</v>
      </c>
      <c r="C924">
        <v>0.92200000000000104</v>
      </c>
      <c r="D924" t="s">
        <v>4203</v>
      </c>
    </row>
    <row r="925" spans="1:4" x14ac:dyDescent="0.25">
      <c r="A925" t="s">
        <v>3127</v>
      </c>
      <c r="B925" t="s">
        <v>4125</v>
      </c>
      <c r="C925">
        <v>0.92300000000000104</v>
      </c>
      <c r="D925" t="s">
        <v>4203</v>
      </c>
    </row>
    <row r="926" spans="1:4" x14ac:dyDescent="0.25">
      <c r="A926" t="s">
        <v>3128</v>
      </c>
      <c r="B926" t="s">
        <v>4126</v>
      </c>
      <c r="C926">
        <v>0.92400000000000104</v>
      </c>
      <c r="D926" t="s">
        <v>4203</v>
      </c>
    </row>
    <row r="927" spans="1:4" x14ac:dyDescent="0.25">
      <c r="A927" t="s">
        <v>3129</v>
      </c>
      <c r="B927" t="s">
        <v>4127</v>
      </c>
      <c r="C927">
        <v>0.92500000000000104</v>
      </c>
      <c r="D927" t="s">
        <v>4203</v>
      </c>
    </row>
    <row r="928" spans="1:4" x14ac:dyDescent="0.25">
      <c r="A928" t="s">
        <v>3130</v>
      </c>
      <c r="B928" t="s">
        <v>4128</v>
      </c>
      <c r="C928">
        <v>0.92600000000000104</v>
      </c>
      <c r="D928" t="s">
        <v>4203</v>
      </c>
    </row>
    <row r="929" spans="1:4" x14ac:dyDescent="0.25">
      <c r="A929" t="s">
        <v>3131</v>
      </c>
      <c r="B929" t="s">
        <v>4129</v>
      </c>
      <c r="C929">
        <v>0.92700000000000105</v>
      </c>
      <c r="D929" t="s">
        <v>4203</v>
      </c>
    </row>
    <row r="930" spans="1:4" x14ac:dyDescent="0.25">
      <c r="A930" t="s">
        <v>3132</v>
      </c>
      <c r="B930" t="s">
        <v>4130</v>
      </c>
      <c r="C930">
        <v>0.92800000000000105</v>
      </c>
      <c r="D930" t="s">
        <v>4203</v>
      </c>
    </row>
    <row r="931" spans="1:4" x14ac:dyDescent="0.25">
      <c r="A931" t="s">
        <v>3133</v>
      </c>
      <c r="B931" t="s">
        <v>4131</v>
      </c>
      <c r="C931">
        <v>0.92900000000000105</v>
      </c>
      <c r="D931" t="s">
        <v>4203</v>
      </c>
    </row>
    <row r="932" spans="1:4" x14ac:dyDescent="0.25">
      <c r="A932" t="s">
        <v>3134</v>
      </c>
      <c r="B932" t="s">
        <v>4132</v>
      </c>
      <c r="C932">
        <v>0.93000000000000105</v>
      </c>
      <c r="D932" t="s">
        <v>4203</v>
      </c>
    </row>
    <row r="933" spans="1:4" x14ac:dyDescent="0.25">
      <c r="A933" t="s">
        <v>3135</v>
      </c>
      <c r="B933" t="s">
        <v>4133</v>
      </c>
      <c r="C933">
        <v>0.93100000000000105</v>
      </c>
      <c r="D933" t="s">
        <v>4203</v>
      </c>
    </row>
    <row r="934" spans="1:4" x14ac:dyDescent="0.25">
      <c r="A934" t="s">
        <v>3136</v>
      </c>
      <c r="B934" t="s">
        <v>4134</v>
      </c>
      <c r="C934">
        <v>0.93200000000000105</v>
      </c>
      <c r="D934" t="s">
        <v>4203</v>
      </c>
    </row>
    <row r="935" spans="1:4" x14ac:dyDescent="0.25">
      <c r="A935" t="s">
        <v>3137</v>
      </c>
      <c r="B935" t="s">
        <v>4135</v>
      </c>
      <c r="C935">
        <v>0.93300000000000105</v>
      </c>
      <c r="D935" t="s">
        <v>4203</v>
      </c>
    </row>
    <row r="936" spans="1:4" x14ac:dyDescent="0.25">
      <c r="A936" t="s">
        <v>3138</v>
      </c>
      <c r="B936" t="s">
        <v>4136</v>
      </c>
      <c r="C936">
        <v>0.93400000000000105</v>
      </c>
      <c r="D936" t="s">
        <v>4203</v>
      </c>
    </row>
    <row r="937" spans="1:4" x14ac:dyDescent="0.25">
      <c r="A937" t="s">
        <v>3139</v>
      </c>
      <c r="B937" t="s">
        <v>4137</v>
      </c>
      <c r="C937">
        <v>0.93500000000000105</v>
      </c>
      <c r="D937" t="s">
        <v>4203</v>
      </c>
    </row>
    <row r="938" spans="1:4" x14ac:dyDescent="0.25">
      <c r="A938" t="s">
        <v>3140</v>
      </c>
      <c r="B938" t="s">
        <v>4138</v>
      </c>
      <c r="C938">
        <v>0.93600000000000105</v>
      </c>
      <c r="D938" t="s">
        <v>4203</v>
      </c>
    </row>
    <row r="939" spans="1:4" x14ac:dyDescent="0.25">
      <c r="A939" t="s">
        <v>3141</v>
      </c>
      <c r="B939" t="s">
        <v>4139</v>
      </c>
      <c r="C939">
        <v>0.93700000000000105</v>
      </c>
      <c r="D939" t="s">
        <v>4203</v>
      </c>
    </row>
    <row r="940" spans="1:4" x14ac:dyDescent="0.25">
      <c r="A940" t="s">
        <v>3142</v>
      </c>
      <c r="B940" t="s">
        <v>4140</v>
      </c>
      <c r="C940">
        <v>0.93800000000000106</v>
      </c>
      <c r="D940" t="s">
        <v>4203</v>
      </c>
    </row>
    <row r="941" spans="1:4" x14ac:dyDescent="0.25">
      <c r="A941" t="s">
        <v>3143</v>
      </c>
      <c r="B941" t="s">
        <v>4141</v>
      </c>
      <c r="C941">
        <v>0.93900000000000095</v>
      </c>
      <c r="D941" t="s">
        <v>4203</v>
      </c>
    </row>
    <row r="942" spans="1:4" x14ac:dyDescent="0.25">
      <c r="A942" t="s">
        <v>3144</v>
      </c>
      <c r="B942" t="s">
        <v>4142</v>
      </c>
      <c r="C942">
        <v>0.94000000000000095</v>
      </c>
      <c r="D942" t="s">
        <v>4203</v>
      </c>
    </row>
    <row r="943" spans="1:4" x14ac:dyDescent="0.25">
      <c r="A943" t="s">
        <v>3145</v>
      </c>
      <c r="B943" t="s">
        <v>4143</v>
      </c>
      <c r="C943">
        <v>0.94100000000000095</v>
      </c>
      <c r="D943" t="s">
        <v>4203</v>
      </c>
    </row>
    <row r="944" spans="1:4" x14ac:dyDescent="0.25">
      <c r="A944" t="s">
        <v>3146</v>
      </c>
      <c r="B944" t="s">
        <v>4144</v>
      </c>
      <c r="C944">
        <v>0.94200000000000095</v>
      </c>
      <c r="D944" t="s">
        <v>4203</v>
      </c>
    </row>
    <row r="945" spans="1:4" x14ac:dyDescent="0.25">
      <c r="A945" t="s">
        <v>3147</v>
      </c>
      <c r="B945" t="s">
        <v>4145</v>
      </c>
      <c r="C945">
        <v>0.94300000000000095</v>
      </c>
      <c r="D945" t="s">
        <v>4203</v>
      </c>
    </row>
    <row r="946" spans="1:4" x14ac:dyDescent="0.25">
      <c r="A946" t="s">
        <v>3148</v>
      </c>
      <c r="B946" t="s">
        <v>4146</v>
      </c>
      <c r="C946">
        <v>0.94400000000000095</v>
      </c>
      <c r="D946" t="s">
        <v>4203</v>
      </c>
    </row>
    <row r="947" spans="1:4" x14ac:dyDescent="0.25">
      <c r="A947" t="s">
        <v>3149</v>
      </c>
      <c r="B947" t="s">
        <v>4147</v>
      </c>
      <c r="C947">
        <v>0.94500000000000095</v>
      </c>
      <c r="D947" t="s">
        <v>4203</v>
      </c>
    </row>
    <row r="948" spans="1:4" x14ac:dyDescent="0.25">
      <c r="A948" t="s">
        <v>3150</v>
      </c>
      <c r="B948" t="s">
        <v>4148</v>
      </c>
      <c r="C948">
        <v>0.94600000000000095</v>
      </c>
      <c r="D948" t="s">
        <v>4203</v>
      </c>
    </row>
    <row r="949" spans="1:4" x14ac:dyDescent="0.25">
      <c r="A949" t="s">
        <v>3151</v>
      </c>
      <c r="B949" t="s">
        <v>4149</v>
      </c>
      <c r="C949">
        <v>0.94700000000000095</v>
      </c>
      <c r="D949" t="s">
        <v>4203</v>
      </c>
    </row>
    <row r="950" spans="1:4" x14ac:dyDescent="0.25">
      <c r="A950" t="s">
        <v>3152</v>
      </c>
      <c r="B950" t="s">
        <v>4150</v>
      </c>
      <c r="C950">
        <v>0.94800000000000095</v>
      </c>
      <c r="D950" t="s">
        <v>4203</v>
      </c>
    </row>
    <row r="951" spans="1:4" x14ac:dyDescent="0.25">
      <c r="A951" t="s">
        <v>3153</v>
      </c>
      <c r="B951" t="s">
        <v>4151</v>
      </c>
      <c r="C951">
        <v>0.94900000000000095</v>
      </c>
      <c r="D951" t="s">
        <v>4203</v>
      </c>
    </row>
    <row r="952" spans="1:4" x14ac:dyDescent="0.25">
      <c r="A952" t="s">
        <v>3154</v>
      </c>
      <c r="B952" t="s">
        <v>4152</v>
      </c>
      <c r="C952">
        <v>0.95000000000000095</v>
      </c>
      <c r="D952" t="s">
        <v>4203</v>
      </c>
    </row>
    <row r="953" spans="1:4" x14ac:dyDescent="0.25">
      <c r="A953" t="s">
        <v>3155</v>
      </c>
      <c r="B953" t="s">
        <v>4153</v>
      </c>
      <c r="C953">
        <v>0.95100000000000096</v>
      </c>
      <c r="D953" t="s">
        <v>4203</v>
      </c>
    </row>
    <row r="954" spans="1:4" x14ac:dyDescent="0.25">
      <c r="A954" t="s">
        <v>3156</v>
      </c>
      <c r="B954" t="s">
        <v>4154</v>
      </c>
      <c r="C954">
        <v>0.95200000000000096</v>
      </c>
      <c r="D954" t="s">
        <v>4203</v>
      </c>
    </row>
    <row r="955" spans="1:4" x14ac:dyDescent="0.25">
      <c r="A955" t="s">
        <v>3157</v>
      </c>
      <c r="B955" t="s">
        <v>4155</v>
      </c>
      <c r="C955">
        <v>0.95300000000000096</v>
      </c>
      <c r="D955" t="s">
        <v>4203</v>
      </c>
    </row>
    <row r="956" spans="1:4" x14ac:dyDescent="0.25">
      <c r="A956" t="s">
        <v>3158</v>
      </c>
      <c r="B956" t="s">
        <v>4156</v>
      </c>
      <c r="C956">
        <v>0.95400000000000096</v>
      </c>
      <c r="D956" t="s">
        <v>4203</v>
      </c>
    </row>
    <row r="957" spans="1:4" x14ac:dyDescent="0.25">
      <c r="A957" t="s">
        <v>3159</v>
      </c>
      <c r="B957" t="s">
        <v>4157</v>
      </c>
      <c r="C957">
        <v>0.95500000000000096</v>
      </c>
      <c r="D957" t="s">
        <v>4203</v>
      </c>
    </row>
    <row r="958" spans="1:4" x14ac:dyDescent="0.25">
      <c r="A958" t="s">
        <v>3160</v>
      </c>
      <c r="B958" t="s">
        <v>4158</v>
      </c>
      <c r="C958">
        <v>0.95600000000000096</v>
      </c>
      <c r="D958" t="s">
        <v>4203</v>
      </c>
    </row>
    <row r="959" spans="1:4" x14ac:dyDescent="0.25">
      <c r="A959" t="s">
        <v>3161</v>
      </c>
      <c r="B959" t="s">
        <v>4159</v>
      </c>
      <c r="C959">
        <v>0.95700000000000096</v>
      </c>
      <c r="D959" t="s">
        <v>4203</v>
      </c>
    </row>
    <row r="960" spans="1:4" x14ac:dyDescent="0.25">
      <c r="A960" t="s">
        <v>3162</v>
      </c>
      <c r="B960" t="s">
        <v>4160</v>
      </c>
      <c r="C960">
        <v>0.95800000000000096</v>
      </c>
      <c r="D960" t="s">
        <v>4203</v>
      </c>
    </row>
    <row r="961" spans="1:4" x14ac:dyDescent="0.25">
      <c r="A961" t="s">
        <v>3163</v>
      </c>
      <c r="B961" t="s">
        <v>4161</v>
      </c>
      <c r="C961">
        <v>0.95900000000000096</v>
      </c>
      <c r="D961" t="s">
        <v>4203</v>
      </c>
    </row>
    <row r="962" spans="1:4" x14ac:dyDescent="0.25">
      <c r="A962" t="s">
        <v>3164</v>
      </c>
      <c r="B962" t="s">
        <v>4162</v>
      </c>
      <c r="C962">
        <v>0.96000000000000096</v>
      </c>
      <c r="D962" t="s">
        <v>4203</v>
      </c>
    </row>
    <row r="963" spans="1:4" x14ac:dyDescent="0.25">
      <c r="A963" t="s">
        <v>3165</v>
      </c>
      <c r="B963" t="s">
        <v>4163</v>
      </c>
      <c r="C963">
        <v>0.96100000000000096</v>
      </c>
      <c r="D963" t="s">
        <v>4203</v>
      </c>
    </row>
    <row r="964" spans="1:4" x14ac:dyDescent="0.25">
      <c r="A964" t="s">
        <v>3166</v>
      </c>
      <c r="B964" t="s">
        <v>4164</v>
      </c>
      <c r="C964">
        <v>0.96200000000000097</v>
      </c>
      <c r="D964" t="s">
        <v>4203</v>
      </c>
    </row>
    <row r="965" spans="1:4" x14ac:dyDescent="0.25">
      <c r="A965" t="s">
        <v>3167</v>
      </c>
      <c r="B965" t="s">
        <v>4165</v>
      </c>
      <c r="C965">
        <v>0.96300000000000097</v>
      </c>
      <c r="D965" t="s">
        <v>4203</v>
      </c>
    </row>
    <row r="966" spans="1:4" x14ac:dyDescent="0.25">
      <c r="A966" t="s">
        <v>3168</v>
      </c>
      <c r="B966" t="s">
        <v>4166</v>
      </c>
      <c r="C966">
        <v>0.96400000000000097</v>
      </c>
      <c r="D966" t="s">
        <v>4203</v>
      </c>
    </row>
    <row r="967" spans="1:4" x14ac:dyDescent="0.25">
      <c r="A967" t="s">
        <v>3169</v>
      </c>
      <c r="B967" t="s">
        <v>4167</v>
      </c>
      <c r="C967">
        <v>0.96500000000000097</v>
      </c>
      <c r="D967" t="s">
        <v>4203</v>
      </c>
    </row>
    <row r="968" spans="1:4" x14ac:dyDescent="0.25">
      <c r="A968" t="s">
        <v>3170</v>
      </c>
      <c r="B968" t="s">
        <v>4168</v>
      </c>
      <c r="C968">
        <v>0.96600000000000097</v>
      </c>
      <c r="D968" t="s">
        <v>4203</v>
      </c>
    </row>
    <row r="969" spans="1:4" x14ac:dyDescent="0.25">
      <c r="A969" t="s">
        <v>3171</v>
      </c>
      <c r="B969" t="s">
        <v>4169</v>
      </c>
      <c r="C969">
        <v>0.96700000000000097</v>
      </c>
      <c r="D969" t="s">
        <v>4203</v>
      </c>
    </row>
    <row r="970" spans="1:4" x14ac:dyDescent="0.25">
      <c r="A970" t="s">
        <v>3172</v>
      </c>
      <c r="B970" t="s">
        <v>4170</v>
      </c>
      <c r="C970">
        <v>0.96800000000000097</v>
      </c>
      <c r="D970" t="s">
        <v>4203</v>
      </c>
    </row>
    <row r="971" spans="1:4" x14ac:dyDescent="0.25">
      <c r="A971" t="s">
        <v>3173</v>
      </c>
      <c r="B971" t="s">
        <v>4171</v>
      </c>
      <c r="C971">
        <v>0.96900000000000097</v>
      </c>
      <c r="D971" t="s">
        <v>4203</v>
      </c>
    </row>
    <row r="972" spans="1:4" x14ac:dyDescent="0.25">
      <c r="A972" t="s">
        <v>3174</v>
      </c>
      <c r="B972" t="s">
        <v>4172</v>
      </c>
      <c r="C972">
        <v>0.97000000000000097</v>
      </c>
      <c r="D972" t="s">
        <v>4203</v>
      </c>
    </row>
    <row r="973" spans="1:4" x14ac:dyDescent="0.25">
      <c r="A973" t="s">
        <v>3175</v>
      </c>
      <c r="B973" t="s">
        <v>4173</v>
      </c>
      <c r="C973">
        <v>0.97100000000000097</v>
      </c>
      <c r="D973" t="s">
        <v>4203</v>
      </c>
    </row>
    <row r="974" spans="1:4" x14ac:dyDescent="0.25">
      <c r="A974" t="s">
        <v>3176</v>
      </c>
      <c r="B974" t="s">
        <v>4174</v>
      </c>
      <c r="C974">
        <v>0.97200000000000097</v>
      </c>
      <c r="D974" t="s">
        <v>4203</v>
      </c>
    </row>
    <row r="975" spans="1:4" x14ac:dyDescent="0.25">
      <c r="A975" t="s">
        <v>3177</v>
      </c>
      <c r="B975" t="s">
        <v>4175</v>
      </c>
      <c r="C975">
        <v>0.97300000000000098</v>
      </c>
      <c r="D975" t="s">
        <v>4203</v>
      </c>
    </row>
    <row r="976" spans="1:4" x14ac:dyDescent="0.25">
      <c r="A976" t="s">
        <v>3178</v>
      </c>
      <c r="B976" t="s">
        <v>4176</v>
      </c>
      <c r="C976">
        <v>0.97400000000000098</v>
      </c>
      <c r="D976" t="s">
        <v>4203</v>
      </c>
    </row>
    <row r="977" spans="1:4" x14ac:dyDescent="0.25">
      <c r="A977" t="s">
        <v>3179</v>
      </c>
      <c r="B977" t="s">
        <v>4177</v>
      </c>
      <c r="C977">
        <v>0.97500000000000098</v>
      </c>
      <c r="D977" t="s">
        <v>4203</v>
      </c>
    </row>
    <row r="978" spans="1:4" x14ac:dyDescent="0.25">
      <c r="A978" t="s">
        <v>3180</v>
      </c>
      <c r="B978" t="s">
        <v>4178</v>
      </c>
      <c r="C978">
        <v>0.97600000000000098</v>
      </c>
      <c r="D978" t="s">
        <v>4203</v>
      </c>
    </row>
    <row r="979" spans="1:4" x14ac:dyDescent="0.25">
      <c r="A979" t="s">
        <v>3181</v>
      </c>
      <c r="B979" t="s">
        <v>4179</v>
      </c>
      <c r="C979">
        <v>0.97700000000000098</v>
      </c>
      <c r="D979" t="s">
        <v>4203</v>
      </c>
    </row>
    <row r="980" spans="1:4" x14ac:dyDescent="0.25">
      <c r="A980" t="s">
        <v>3182</v>
      </c>
      <c r="B980" t="s">
        <v>4180</v>
      </c>
      <c r="C980">
        <v>0.97800000000000098</v>
      </c>
      <c r="D980" t="s">
        <v>4203</v>
      </c>
    </row>
    <row r="981" spans="1:4" x14ac:dyDescent="0.25">
      <c r="A981" t="s">
        <v>3183</v>
      </c>
      <c r="B981" t="s">
        <v>4181</v>
      </c>
      <c r="C981">
        <v>0.97900000000000098</v>
      </c>
      <c r="D981" t="s">
        <v>4203</v>
      </c>
    </row>
    <row r="982" spans="1:4" x14ac:dyDescent="0.25">
      <c r="A982" t="s">
        <v>3184</v>
      </c>
      <c r="B982" t="s">
        <v>4182</v>
      </c>
      <c r="C982">
        <v>0.98000000000000098</v>
      </c>
      <c r="D982" t="s">
        <v>4203</v>
      </c>
    </row>
    <row r="983" spans="1:4" x14ac:dyDescent="0.25">
      <c r="A983" t="s">
        <v>3185</v>
      </c>
      <c r="B983" t="s">
        <v>4183</v>
      </c>
      <c r="C983">
        <v>0.98100000000000098</v>
      </c>
      <c r="D983" t="s">
        <v>4203</v>
      </c>
    </row>
    <row r="984" spans="1:4" x14ac:dyDescent="0.25">
      <c r="A984" t="s">
        <v>3186</v>
      </c>
      <c r="B984" t="s">
        <v>4184</v>
      </c>
      <c r="C984">
        <v>0.98200000000000098</v>
      </c>
      <c r="D984" t="s">
        <v>4203</v>
      </c>
    </row>
    <row r="985" spans="1:4" x14ac:dyDescent="0.25">
      <c r="A985" t="s">
        <v>3187</v>
      </c>
      <c r="B985" t="s">
        <v>4185</v>
      </c>
      <c r="C985">
        <v>0.98300000000000098</v>
      </c>
      <c r="D985" t="s">
        <v>4203</v>
      </c>
    </row>
    <row r="986" spans="1:4" x14ac:dyDescent="0.25">
      <c r="A986" t="s">
        <v>3188</v>
      </c>
      <c r="B986" t="s">
        <v>4186</v>
      </c>
      <c r="C986">
        <v>0.98400000000000098</v>
      </c>
      <c r="D986" t="s">
        <v>4203</v>
      </c>
    </row>
    <row r="987" spans="1:4" x14ac:dyDescent="0.25">
      <c r="A987" t="s">
        <v>3189</v>
      </c>
      <c r="B987" t="s">
        <v>4187</v>
      </c>
      <c r="C987">
        <v>0.98500000000000099</v>
      </c>
      <c r="D987" t="s">
        <v>4203</v>
      </c>
    </row>
    <row r="988" spans="1:4" x14ac:dyDescent="0.25">
      <c r="A988" t="s">
        <v>3190</v>
      </c>
      <c r="B988" t="s">
        <v>4188</v>
      </c>
      <c r="C988">
        <v>0.98600000000000099</v>
      </c>
      <c r="D988" t="s">
        <v>4203</v>
      </c>
    </row>
    <row r="989" spans="1:4" x14ac:dyDescent="0.25">
      <c r="A989" t="s">
        <v>3191</v>
      </c>
      <c r="B989" t="s">
        <v>4189</v>
      </c>
      <c r="C989">
        <v>0.98700000000000099</v>
      </c>
      <c r="D989" t="s">
        <v>4203</v>
      </c>
    </row>
    <row r="990" spans="1:4" x14ac:dyDescent="0.25">
      <c r="A990" t="s">
        <v>3192</v>
      </c>
      <c r="B990" t="s">
        <v>4190</v>
      </c>
      <c r="C990">
        <v>0.98800000000000099</v>
      </c>
      <c r="D990" t="s">
        <v>4203</v>
      </c>
    </row>
    <row r="991" spans="1:4" x14ac:dyDescent="0.25">
      <c r="A991" t="s">
        <v>3193</v>
      </c>
      <c r="B991" t="s">
        <v>4191</v>
      </c>
      <c r="C991">
        <v>0.98900000000000099</v>
      </c>
      <c r="D991" t="s">
        <v>4203</v>
      </c>
    </row>
    <row r="992" spans="1:4" x14ac:dyDescent="0.25">
      <c r="A992" t="s">
        <v>3194</v>
      </c>
      <c r="B992" t="s">
        <v>4192</v>
      </c>
      <c r="C992">
        <v>0.99000000000000099</v>
      </c>
      <c r="D992" t="s">
        <v>4203</v>
      </c>
    </row>
    <row r="993" spans="1:4" x14ac:dyDescent="0.25">
      <c r="A993" t="s">
        <v>3195</v>
      </c>
      <c r="B993" t="s">
        <v>4193</v>
      </c>
      <c r="C993">
        <v>0.99100000000000099</v>
      </c>
      <c r="D993" t="s">
        <v>4203</v>
      </c>
    </row>
    <row r="994" spans="1:4" x14ac:dyDescent="0.25">
      <c r="A994" t="s">
        <v>3196</v>
      </c>
      <c r="B994" t="s">
        <v>4194</v>
      </c>
      <c r="C994">
        <v>0.99200000000000099</v>
      </c>
      <c r="D994" t="s">
        <v>4203</v>
      </c>
    </row>
    <row r="995" spans="1:4" x14ac:dyDescent="0.25">
      <c r="A995" t="s">
        <v>3197</v>
      </c>
      <c r="B995" t="s">
        <v>4195</v>
      </c>
      <c r="C995">
        <v>0.99300000000000099</v>
      </c>
      <c r="D995" t="s">
        <v>4203</v>
      </c>
    </row>
    <row r="996" spans="1:4" x14ac:dyDescent="0.25">
      <c r="A996" t="s">
        <v>3198</v>
      </c>
      <c r="B996" t="s">
        <v>4196</v>
      </c>
      <c r="C996">
        <v>0.99400000000000099</v>
      </c>
      <c r="D996" t="s">
        <v>4203</v>
      </c>
    </row>
    <row r="997" spans="1:4" x14ac:dyDescent="0.25">
      <c r="A997" t="s">
        <v>3199</v>
      </c>
      <c r="B997" t="s">
        <v>4197</v>
      </c>
      <c r="C997">
        <v>0.99500000000000099</v>
      </c>
      <c r="D997" t="s">
        <v>4203</v>
      </c>
    </row>
    <row r="998" spans="1:4" x14ac:dyDescent="0.25">
      <c r="A998" t="s">
        <v>3200</v>
      </c>
      <c r="B998" t="s">
        <v>4198</v>
      </c>
      <c r="C998">
        <v>0.996000000000001</v>
      </c>
      <c r="D998" t="s">
        <v>4203</v>
      </c>
    </row>
    <row r="999" spans="1:4" x14ac:dyDescent="0.25">
      <c r="A999" t="s">
        <v>3201</v>
      </c>
      <c r="B999" t="s">
        <v>4199</v>
      </c>
      <c r="C999">
        <v>0.997000000000001</v>
      </c>
      <c r="D999" t="s">
        <v>4203</v>
      </c>
    </row>
    <row r="1000" spans="1:4" x14ac:dyDescent="0.25">
      <c r="A1000" t="s">
        <v>3202</v>
      </c>
      <c r="B1000" t="s">
        <v>4200</v>
      </c>
      <c r="C1000">
        <v>0.998000000000001</v>
      </c>
      <c r="D1000" t="s">
        <v>4203</v>
      </c>
    </row>
    <row r="1001" spans="1:4" x14ac:dyDescent="0.25">
      <c r="A1001" t="s">
        <v>3203</v>
      </c>
      <c r="B1001" t="s">
        <v>4201</v>
      </c>
      <c r="C1001">
        <v>0.999000000000001</v>
      </c>
      <c r="D1001" t="s">
        <v>4203</v>
      </c>
    </row>
    <row r="1002" spans="1:4" x14ac:dyDescent="0.25">
      <c r="A1002" t="s">
        <v>3204</v>
      </c>
      <c r="B1002" t="s">
        <v>4202</v>
      </c>
      <c r="C1002">
        <v>1</v>
      </c>
      <c r="D1002" t="s">
        <v>4203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48EF-1270-4D33-8210-F9B354F761FA}">
  <dimension ref="A1:D1002"/>
  <sheetViews>
    <sheetView workbookViewId="0">
      <selection activeCell="J22" sqref="J22"/>
    </sheetView>
  </sheetViews>
  <sheetFormatPr defaultRowHeight="15" x14ac:dyDescent="0.25"/>
  <cols>
    <col min="1" max="1" width="9.42578125" bestFit="1" customWidth="1"/>
    <col min="2" max="2" width="15.42578125" bestFit="1" customWidth="1"/>
    <col min="3" max="3" width="12.28515625" bestFit="1" customWidth="1"/>
    <col min="4" max="4" width="39.85546875" customWidth="1"/>
  </cols>
  <sheetData>
    <row r="1" spans="1:4" ht="15.75" thickBot="1" x14ac:dyDescent="0.3">
      <c r="A1" s="1" t="s">
        <v>6306</v>
      </c>
      <c r="B1" s="2" t="s">
        <v>4205</v>
      </c>
      <c r="C1" s="2" t="s">
        <v>2199</v>
      </c>
      <c r="D1" s="3" t="s">
        <v>2</v>
      </c>
    </row>
    <row r="2" spans="1:4" ht="15.75" thickTop="1" x14ac:dyDescent="0.25">
      <c r="A2" s="4" t="s">
        <v>4208</v>
      </c>
      <c r="B2" s="5" t="s">
        <v>4206</v>
      </c>
      <c r="C2" s="5">
        <v>0</v>
      </c>
      <c r="D2" s="6" t="s">
        <v>6208</v>
      </c>
    </row>
    <row r="3" spans="1:4" x14ac:dyDescent="0.25">
      <c r="A3" s="7" t="s">
        <v>4209</v>
      </c>
      <c r="B3" s="8" t="s">
        <v>4207</v>
      </c>
      <c r="C3" s="8">
        <v>1E-3</v>
      </c>
      <c r="D3" s="16" t="s">
        <v>6208</v>
      </c>
    </row>
    <row r="4" spans="1:4" x14ac:dyDescent="0.25">
      <c r="A4" s="4" t="s">
        <v>4210</v>
      </c>
      <c r="B4" s="5" t="s">
        <v>4211</v>
      </c>
      <c r="C4" s="5">
        <v>2E-3</v>
      </c>
      <c r="D4" s="6" t="s">
        <v>6208</v>
      </c>
    </row>
    <row r="5" spans="1:4" x14ac:dyDescent="0.25">
      <c r="A5" s="7" t="s">
        <v>4212</v>
      </c>
      <c r="B5" s="8" t="s">
        <v>4213</v>
      </c>
      <c r="C5" s="8">
        <v>3.0000000000000001E-3</v>
      </c>
      <c r="D5" s="16" t="s">
        <v>6208</v>
      </c>
    </row>
    <row r="6" spans="1:4" x14ac:dyDescent="0.25">
      <c r="A6" s="4" t="s">
        <v>4214</v>
      </c>
      <c r="B6" s="5" t="s">
        <v>4215</v>
      </c>
      <c r="C6" s="5">
        <v>4.0000000000000001E-3</v>
      </c>
      <c r="D6" s="6" t="s">
        <v>6208</v>
      </c>
    </row>
    <row r="7" spans="1:4" x14ac:dyDescent="0.25">
      <c r="A7" s="7" t="s">
        <v>4216</v>
      </c>
      <c r="B7" s="8" t="s">
        <v>4217</v>
      </c>
      <c r="C7" s="8">
        <v>5.0000000000000001E-3</v>
      </c>
      <c r="D7" s="16" t="s">
        <v>6208</v>
      </c>
    </row>
    <row r="8" spans="1:4" x14ac:dyDescent="0.25">
      <c r="A8" s="4" t="s">
        <v>4218</v>
      </c>
      <c r="B8" s="5" t="s">
        <v>4219</v>
      </c>
      <c r="C8" s="5">
        <v>6.0000000000000001E-3</v>
      </c>
      <c r="D8" s="6" t="s">
        <v>6208</v>
      </c>
    </row>
    <row r="9" spans="1:4" x14ac:dyDescent="0.25">
      <c r="A9" s="7" t="s">
        <v>4220</v>
      </c>
      <c r="B9" s="8" t="s">
        <v>4221</v>
      </c>
      <c r="C9" s="8">
        <v>7.0000000000000001E-3</v>
      </c>
      <c r="D9" s="16" t="s">
        <v>6208</v>
      </c>
    </row>
    <row r="10" spans="1:4" x14ac:dyDescent="0.25">
      <c r="A10" s="4" t="s">
        <v>4222</v>
      </c>
      <c r="B10" s="5" t="s">
        <v>4223</v>
      </c>
      <c r="C10" s="5">
        <v>8.0000000000000002E-3</v>
      </c>
      <c r="D10" s="6" t="s">
        <v>6208</v>
      </c>
    </row>
    <row r="11" spans="1:4" x14ac:dyDescent="0.25">
      <c r="A11" s="7" t="s">
        <v>4224</v>
      </c>
      <c r="B11" s="8" t="s">
        <v>4225</v>
      </c>
      <c r="C11" s="8">
        <v>8.9999999999999993E-3</v>
      </c>
      <c r="D11" s="16" t="s">
        <v>6208</v>
      </c>
    </row>
    <row r="12" spans="1:4" x14ac:dyDescent="0.25">
      <c r="A12" s="4" t="s">
        <v>4226</v>
      </c>
      <c r="B12" s="5" t="s">
        <v>4227</v>
      </c>
      <c r="C12" s="5">
        <v>0.01</v>
      </c>
      <c r="D12" s="6" t="s">
        <v>6208</v>
      </c>
    </row>
    <row r="13" spans="1:4" x14ac:dyDescent="0.25">
      <c r="A13" s="7" t="s">
        <v>4228</v>
      </c>
      <c r="B13" s="8" t="s">
        <v>4229</v>
      </c>
      <c r="C13" s="8">
        <v>1.0999999999999999E-2</v>
      </c>
      <c r="D13" s="16" t="s">
        <v>6208</v>
      </c>
    </row>
    <row r="14" spans="1:4" x14ac:dyDescent="0.25">
      <c r="A14" s="4" t="s">
        <v>4230</v>
      </c>
      <c r="B14" s="5" t="s">
        <v>4231</v>
      </c>
      <c r="C14" s="5">
        <v>1.2E-2</v>
      </c>
      <c r="D14" s="6" t="s">
        <v>6208</v>
      </c>
    </row>
    <row r="15" spans="1:4" x14ac:dyDescent="0.25">
      <c r="A15" s="7" t="s">
        <v>4232</v>
      </c>
      <c r="B15" s="8" t="s">
        <v>4233</v>
      </c>
      <c r="C15" s="8">
        <v>1.2999999999999999E-2</v>
      </c>
      <c r="D15" s="16" t="s">
        <v>6208</v>
      </c>
    </row>
    <row r="16" spans="1:4" x14ac:dyDescent="0.25">
      <c r="A16" s="4" t="s">
        <v>4234</v>
      </c>
      <c r="B16" s="5" t="s">
        <v>4235</v>
      </c>
      <c r="C16" s="5">
        <v>1.4E-2</v>
      </c>
      <c r="D16" s="6" t="s">
        <v>6208</v>
      </c>
    </row>
    <row r="17" spans="1:4" x14ac:dyDescent="0.25">
      <c r="A17" s="7" t="s">
        <v>4236</v>
      </c>
      <c r="B17" s="8" t="s">
        <v>4237</v>
      </c>
      <c r="C17" s="8">
        <v>1.4999999999999999E-2</v>
      </c>
      <c r="D17" s="16" t="s">
        <v>6208</v>
      </c>
    </row>
    <row r="18" spans="1:4" x14ac:dyDescent="0.25">
      <c r="A18" s="4" t="s">
        <v>4238</v>
      </c>
      <c r="B18" s="5" t="s">
        <v>4239</v>
      </c>
      <c r="C18" s="5">
        <v>1.6E-2</v>
      </c>
      <c r="D18" s="6" t="s">
        <v>6208</v>
      </c>
    </row>
    <row r="19" spans="1:4" x14ac:dyDescent="0.25">
      <c r="A19" s="7" t="s">
        <v>4240</v>
      </c>
      <c r="B19" s="8" t="s">
        <v>4241</v>
      </c>
      <c r="C19" s="8">
        <v>1.7000000000000001E-2</v>
      </c>
      <c r="D19" s="16" t="s">
        <v>6208</v>
      </c>
    </row>
    <row r="20" spans="1:4" x14ac:dyDescent="0.25">
      <c r="A20" s="4" t="s">
        <v>4242</v>
      </c>
      <c r="B20" s="5" t="s">
        <v>4243</v>
      </c>
      <c r="C20" s="5">
        <v>1.7999999999999999E-2</v>
      </c>
      <c r="D20" s="6" t="s">
        <v>6208</v>
      </c>
    </row>
    <row r="21" spans="1:4" x14ac:dyDescent="0.25">
      <c r="A21" s="7" t="s">
        <v>4244</v>
      </c>
      <c r="B21" s="8" t="s">
        <v>4245</v>
      </c>
      <c r="C21" s="8">
        <v>1.9E-2</v>
      </c>
      <c r="D21" s="16" t="s">
        <v>6208</v>
      </c>
    </row>
    <row r="22" spans="1:4" x14ac:dyDescent="0.25">
      <c r="A22" s="4" t="s">
        <v>4246</v>
      </c>
      <c r="B22" s="5" t="s">
        <v>4247</v>
      </c>
      <c r="C22" s="5">
        <v>0.02</v>
      </c>
      <c r="D22" s="6" t="s">
        <v>6208</v>
      </c>
    </row>
    <row r="23" spans="1:4" x14ac:dyDescent="0.25">
      <c r="A23" s="7" t="s">
        <v>4248</v>
      </c>
      <c r="B23" s="8" t="s">
        <v>4249</v>
      </c>
      <c r="C23" s="8">
        <v>2.1000000000000001E-2</v>
      </c>
      <c r="D23" s="16" t="s">
        <v>6208</v>
      </c>
    </row>
    <row r="24" spans="1:4" x14ac:dyDescent="0.25">
      <c r="A24" s="4" t="s">
        <v>4250</v>
      </c>
      <c r="B24" s="5" t="s">
        <v>4251</v>
      </c>
      <c r="C24" s="5">
        <v>2.1999999999999999E-2</v>
      </c>
      <c r="D24" s="6" t="s">
        <v>6208</v>
      </c>
    </row>
    <row r="25" spans="1:4" x14ac:dyDescent="0.25">
      <c r="A25" s="7" t="s">
        <v>4252</v>
      </c>
      <c r="B25" s="8" t="s">
        <v>4253</v>
      </c>
      <c r="C25" s="8">
        <v>2.3E-2</v>
      </c>
      <c r="D25" s="16" t="s">
        <v>6208</v>
      </c>
    </row>
    <row r="26" spans="1:4" x14ac:dyDescent="0.25">
      <c r="A26" s="4" t="s">
        <v>4254</v>
      </c>
      <c r="B26" s="5" t="s">
        <v>4255</v>
      </c>
      <c r="C26" s="5">
        <v>2.4E-2</v>
      </c>
      <c r="D26" s="6" t="s">
        <v>6208</v>
      </c>
    </row>
    <row r="27" spans="1:4" x14ac:dyDescent="0.25">
      <c r="A27" s="7" t="s">
        <v>4256</v>
      </c>
      <c r="B27" s="8" t="s">
        <v>4257</v>
      </c>
      <c r="C27" s="8">
        <v>2.5000000000000001E-2</v>
      </c>
      <c r="D27" s="16" t="s">
        <v>6208</v>
      </c>
    </row>
    <row r="28" spans="1:4" x14ac:dyDescent="0.25">
      <c r="A28" s="4" t="s">
        <v>4258</v>
      </c>
      <c r="B28" s="5" t="s">
        <v>4259</v>
      </c>
      <c r="C28" s="5">
        <v>2.5999999999999999E-2</v>
      </c>
      <c r="D28" s="6" t="s">
        <v>6208</v>
      </c>
    </row>
    <row r="29" spans="1:4" x14ac:dyDescent="0.25">
      <c r="A29" s="7" t="s">
        <v>4260</v>
      </c>
      <c r="B29" s="8" t="s">
        <v>4261</v>
      </c>
      <c r="C29" s="8">
        <v>2.7E-2</v>
      </c>
      <c r="D29" s="16" t="s">
        <v>6208</v>
      </c>
    </row>
    <row r="30" spans="1:4" x14ac:dyDescent="0.25">
      <c r="A30" s="4" t="s">
        <v>4262</v>
      </c>
      <c r="B30" s="5" t="s">
        <v>4263</v>
      </c>
      <c r="C30" s="5">
        <v>2.8000000000000001E-2</v>
      </c>
      <c r="D30" s="6" t="s">
        <v>6208</v>
      </c>
    </row>
    <row r="31" spans="1:4" x14ac:dyDescent="0.25">
      <c r="A31" s="7" t="s">
        <v>4264</v>
      </c>
      <c r="B31" s="8" t="s">
        <v>4265</v>
      </c>
      <c r="C31" s="8">
        <v>2.9000000000000001E-2</v>
      </c>
      <c r="D31" s="16" t="s">
        <v>6208</v>
      </c>
    </row>
    <row r="32" spans="1:4" x14ac:dyDescent="0.25">
      <c r="A32" s="4" t="s">
        <v>4266</v>
      </c>
      <c r="B32" s="5" t="s">
        <v>4267</v>
      </c>
      <c r="C32" s="5">
        <v>0.03</v>
      </c>
      <c r="D32" s="6" t="s">
        <v>6208</v>
      </c>
    </row>
    <row r="33" spans="1:4" x14ac:dyDescent="0.25">
      <c r="A33" s="7" t="s">
        <v>4268</v>
      </c>
      <c r="B33" s="8" t="s">
        <v>4269</v>
      </c>
      <c r="C33" s="8">
        <v>3.1E-2</v>
      </c>
      <c r="D33" s="16" t="s">
        <v>6208</v>
      </c>
    </row>
    <row r="34" spans="1:4" x14ac:dyDescent="0.25">
      <c r="A34" s="4" t="s">
        <v>4270</v>
      </c>
      <c r="B34" s="5" t="s">
        <v>4271</v>
      </c>
      <c r="C34" s="5">
        <v>3.2000000000000001E-2</v>
      </c>
      <c r="D34" s="6" t="s">
        <v>6208</v>
      </c>
    </row>
    <row r="35" spans="1:4" x14ac:dyDescent="0.25">
      <c r="A35" s="7" t="s">
        <v>4272</v>
      </c>
      <c r="B35" s="8" t="s">
        <v>4273</v>
      </c>
      <c r="C35" s="8">
        <v>3.3000000000000002E-2</v>
      </c>
      <c r="D35" s="16" t="s">
        <v>6208</v>
      </c>
    </row>
    <row r="36" spans="1:4" x14ac:dyDescent="0.25">
      <c r="A36" s="4" t="s">
        <v>4274</v>
      </c>
      <c r="B36" s="5" t="s">
        <v>4275</v>
      </c>
      <c r="C36" s="5">
        <v>3.4000000000000002E-2</v>
      </c>
      <c r="D36" s="6" t="s">
        <v>6208</v>
      </c>
    </row>
    <row r="37" spans="1:4" x14ac:dyDescent="0.25">
      <c r="A37" s="7" t="s">
        <v>4276</v>
      </c>
      <c r="B37" s="8" t="s">
        <v>4277</v>
      </c>
      <c r="C37" s="8">
        <v>3.5000000000000003E-2</v>
      </c>
      <c r="D37" s="16" t="s">
        <v>6208</v>
      </c>
    </row>
    <row r="38" spans="1:4" x14ac:dyDescent="0.25">
      <c r="A38" s="4" t="s">
        <v>4278</v>
      </c>
      <c r="B38" s="5" t="s">
        <v>4279</v>
      </c>
      <c r="C38" s="5">
        <v>3.5999999999999997E-2</v>
      </c>
      <c r="D38" s="6" t="s">
        <v>6208</v>
      </c>
    </row>
    <row r="39" spans="1:4" x14ac:dyDescent="0.25">
      <c r="A39" s="7" t="s">
        <v>4280</v>
      </c>
      <c r="B39" s="8" t="s">
        <v>4281</v>
      </c>
      <c r="C39" s="8">
        <v>3.6999999999999998E-2</v>
      </c>
      <c r="D39" s="16" t="s">
        <v>6208</v>
      </c>
    </row>
    <row r="40" spans="1:4" x14ac:dyDescent="0.25">
      <c r="A40" s="4" t="s">
        <v>4282</v>
      </c>
      <c r="B40" s="5" t="s">
        <v>4283</v>
      </c>
      <c r="C40" s="5">
        <v>3.7999999999999999E-2</v>
      </c>
      <c r="D40" s="6" t="s">
        <v>6208</v>
      </c>
    </row>
    <row r="41" spans="1:4" x14ac:dyDescent="0.25">
      <c r="A41" s="7" t="s">
        <v>4284</v>
      </c>
      <c r="B41" s="8" t="s">
        <v>4285</v>
      </c>
      <c r="C41" s="8">
        <v>3.9E-2</v>
      </c>
      <c r="D41" s="16" t="s">
        <v>6208</v>
      </c>
    </row>
    <row r="42" spans="1:4" x14ac:dyDescent="0.25">
      <c r="A42" s="4" t="s">
        <v>4286</v>
      </c>
      <c r="B42" s="5" t="s">
        <v>4287</v>
      </c>
      <c r="C42" s="5">
        <v>0.04</v>
      </c>
      <c r="D42" s="6" t="s">
        <v>6208</v>
      </c>
    </row>
    <row r="43" spans="1:4" x14ac:dyDescent="0.25">
      <c r="A43" s="7" t="s">
        <v>4288</v>
      </c>
      <c r="B43" s="8" t="s">
        <v>4289</v>
      </c>
      <c r="C43" s="8">
        <v>4.1000000000000002E-2</v>
      </c>
      <c r="D43" s="16" t="s">
        <v>6208</v>
      </c>
    </row>
    <row r="44" spans="1:4" x14ac:dyDescent="0.25">
      <c r="A44" s="4" t="s">
        <v>4290</v>
      </c>
      <c r="B44" s="5" t="s">
        <v>4291</v>
      </c>
      <c r="C44" s="5">
        <v>4.2000000000000003E-2</v>
      </c>
      <c r="D44" s="6" t="s">
        <v>6208</v>
      </c>
    </row>
    <row r="45" spans="1:4" x14ac:dyDescent="0.25">
      <c r="A45" s="7" t="s">
        <v>4292</v>
      </c>
      <c r="B45" s="8" t="s">
        <v>4293</v>
      </c>
      <c r="C45" s="8">
        <v>4.2999999999999997E-2</v>
      </c>
      <c r="D45" s="16" t="s">
        <v>6208</v>
      </c>
    </row>
    <row r="46" spans="1:4" x14ac:dyDescent="0.25">
      <c r="A46" s="4" t="s">
        <v>4294</v>
      </c>
      <c r="B46" s="5" t="s">
        <v>4295</v>
      </c>
      <c r="C46" s="5">
        <v>4.3999999999999997E-2</v>
      </c>
      <c r="D46" s="6" t="s">
        <v>6208</v>
      </c>
    </row>
    <row r="47" spans="1:4" x14ac:dyDescent="0.25">
      <c r="A47" s="7" t="s">
        <v>4296</v>
      </c>
      <c r="B47" s="8" t="s">
        <v>4297</v>
      </c>
      <c r="C47" s="8">
        <v>4.4999999999999998E-2</v>
      </c>
      <c r="D47" s="16" t="s">
        <v>6208</v>
      </c>
    </row>
    <row r="48" spans="1:4" x14ac:dyDescent="0.25">
      <c r="A48" s="4" t="s">
        <v>4298</v>
      </c>
      <c r="B48" s="5" t="s">
        <v>4299</v>
      </c>
      <c r="C48" s="5">
        <v>4.5999999999999999E-2</v>
      </c>
      <c r="D48" s="6" t="s">
        <v>6208</v>
      </c>
    </row>
    <row r="49" spans="1:4" x14ac:dyDescent="0.25">
      <c r="A49" s="7" t="s">
        <v>4300</v>
      </c>
      <c r="B49" s="8" t="s">
        <v>4301</v>
      </c>
      <c r="C49" s="8">
        <v>4.7E-2</v>
      </c>
      <c r="D49" s="16" t="s">
        <v>6208</v>
      </c>
    </row>
    <row r="50" spans="1:4" x14ac:dyDescent="0.25">
      <c r="A50" s="4" t="s">
        <v>4302</v>
      </c>
      <c r="B50" s="5" t="s">
        <v>4303</v>
      </c>
      <c r="C50" s="5">
        <v>4.8000000000000001E-2</v>
      </c>
      <c r="D50" s="6" t="s">
        <v>6208</v>
      </c>
    </row>
    <row r="51" spans="1:4" x14ac:dyDescent="0.25">
      <c r="A51" s="7" t="s">
        <v>4304</v>
      </c>
      <c r="B51" s="8" t="s">
        <v>4305</v>
      </c>
      <c r="C51" s="8">
        <v>4.9000000000000002E-2</v>
      </c>
      <c r="D51" s="16" t="s">
        <v>6208</v>
      </c>
    </row>
    <row r="52" spans="1:4" x14ac:dyDescent="0.25">
      <c r="A52" s="4" t="s">
        <v>4306</v>
      </c>
      <c r="B52" s="5" t="s">
        <v>4307</v>
      </c>
      <c r="C52" s="5">
        <v>0.05</v>
      </c>
      <c r="D52" s="6" t="s">
        <v>6208</v>
      </c>
    </row>
    <row r="53" spans="1:4" x14ac:dyDescent="0.25">
      <c r="A53" s="7" t="s">
        <v>4308</v>
      </c>
      <c r="B53" s="8" t="s">
        <v>4309</v>
      </c>
      <c r="C53" s="8">
        <v>5.0999999999999997E-2</v>
      </c>
      <c r="D53" s="16" t="s">
        <v>6208</v>
      </c>
    </row>
    <row r="54" spans="1:4" x14ac:dyDescent="0.25">
      <c r="A54" s="4" t="s">
        <v>4310</v>
      </c>
      <c r="B54" s="5" t="s">
        <v>4311</v>
      </c>
      <c r="C54" s="5">
        <v>5.1999999999999998E-2</v>
      </c>
      <c r="D54" s="6" t="s">
        <v>6208</v>
      </c>
    </row>
    <row r="55" spans="1:4" x14ac:dyDescent="0.25">
      <c r="A55" s="7" t="s">
        <v>4312</v>
      </c>
      <c r="B55" s="8" t="s">
        <v>4313</v>
      </c>
      <c r="C55" s="8">
        <v>5.2999999999999999E-2</v>
      </c>
      <c r="D55" s="16" t="s">
        <v>6208</v>
      </c>
    </row>
    <row r="56" spans="1:4" x14ac:dyDescent="0.25">
      <c r="A56" s="4" t="s">
        <v>4314</v>
      </c>
      <c r="B56" s="5" t="s">
        <v>4315</v>
      </c>
      <c r="C56" s="5">
        <v>5.3999999999999999E-2</v>
      </c>
      <c r="D56" s="6" t="s">
        <v>6208</v>
      </c>
    </row>
    <row r="57" spans="1:4" x14ac:dyDescent="0.25">
      <c r="A57" s="7" t="s">
        <v>4316</v>
      </c>
      <c r="B57" s="8" t="s">
        <v>4317</v>
      </c>
      <c r="C57" s="8">
        <v>5.5E-2</v>
      </c>
      <c r="D57" s="16" t="s">
        <v>6208</v>
      </c>
    </row>
    <row r="58" spans="1:4" x14ac:dyDescent="0.25">
      <c r="A58" s="4" t="s">
        <v>4318</v>
      </c>
      <c r="B58" s="5" t="s">
        <v>4319</v>
      </c>
      <c r="C58" s="5">
        <v>5.6000000000000001E-2</v>
      </c>
      <c r="D58" s="6" t="s">
        <v>6208</v>
      </c>
    </row>
    <row r="59" spans="1:4" x14ac:dyDescent="0.25">
      <c r="A59" s="7" t="s">
        <v>4320</v>
      </c>
      <c r="B59" s="8" t="s">
        <v>4321</v>
      </c>
      <c r="C59" s="8">
        <v>5.7000000000000002E-2</v>
      </c>
      <c r="D59" s="16" t="s">
        <v>6208</v>
      </c>
    </row>
    <row r="60" spans="1:4" x14ac:dyDescent="0.25">
      <c r="A60" s="4" t="s">
        <v>4322</v>
      </c>
      <c r="B60" s="5" t="s">
        <v>4323</v>
      </c>
      <c r="C60" s="5">
        <v>5.8000000000000003E-2</v>
      </c>
      <c r="D60" s="6" t="s">
        <v>6208</v>
      </c>
    </row>
    <row r="61" spans="1:4" x14ac:dyDescent="0.25">
      <c r="A61" s="7" t="s">
        <v>4324</v>
      </c>
      <c r="B61" s="8" t="s">
        <v>4325</v>
      </c>
      <c r="C61" s="8">
        <v>5.8999999999999997E-2</v>
      </c>
      <c r="D61" s="16" t="s">
        <v>6208</v>
      </c>
    </row>
    <row r="62" spans="1:4" x14ac:dyDescent="0.25">
      <c r="A62" s="4" t="s">
        <v>4326</v>
      </c>
      <c r="B62" s="5" t="s">
        <v>4327</v>
      </c>
      <c r="C62" s="5">
        <v>0.06</v>
      </c>
      <c r="D62" s="6" t="s">
        <v>6208</v>
      </c>
    </row>
    <row r="63" spans="1:4" x14ac:dyDescent="0.25">
      <c r="A63" s="7" t="s">
        <v>4328</v>
      </c>
      <c r="B63" s="8" t="s">
        <v>4329</v>
      </c>
      <c r="C63" s="8">
        <v>6.0999999999999999E-2</v>
      </c>
      <c r="D63" s="16" t="s">
        <v>6208</v>
      </c>
    </row>
    <row r="64" spans="1:4" x14ac:dyDescent="0.25">
      <c r="A64" s="4" t="s">
        <v>4330</v>
      </c>
      <c r="B64" s="5" t="s">
        <v>4331</v>
      </c>
      <c r="C64" s="5">
        <v>6.2E-2</v>
      </c>
      <c r="D64" s="6" t="s">
        <v>6208</v>
      </c>
    </row>
    <row r="65" spans="1:4" x14ac:dyDescent="0.25">
      <c r="A65" s="7" t="s">
        <v>4332</v>
      </c>
      <c r="B65" s="8" t="s">
        <v>4333</v>
      </c>
      <c r="C65" s="8">
        <v>6.3E-2</v>
      </c>
      <c r="D65" s="16" t="s">
        <v>6208</v>
      </c>
    </row>
    <row r="66" spans="1:4" x14ac:dyDescent="0.25">
      <c r="A66" s="4" t="s">
        <v>4334</v>
      </c>
      <c r="B66" s="5" t="s">
        <v>4335</v>
      </c>
      <c r="C66" s="5">
        <v>6.4000000000000001E-2</v>
      </c>
      <c r="D66" s="6" t="s">
        <v>6208</v>
      </c>
    </row>
    <row r="67" spans="1:4" x14ac:dyDescent="0.25">
      <c r="A67" s="7" t="s">
        <v>4336</v>
      </c>
      <c r="B67" s="8" t="s">
        <v>4337</v>
      </c>
      <c r="C67" s="8">
        <v>6.5000000000000002E-2</v>
      </c>
      <c r="D67" s="16" t="s">
        <v>6208</v>
      </c>
    </row>
    <row r="68" spans="1:4" x14ac:dyDescent="0.25">
      <c r="A68" s="4" t="s">
        <v>4338</v>
      </c>
      <c r="B68" s="5" t="s">
        <v>4339</v>
      </c>
      <c r="C68" s="5">
        <v>6.6000000000000003E-2</v>
      </c>
      <c r="D68" s="6" t="s">
        <v>6208</v>
      </c>
    </row>
    <row r="69" spans="1:4" x14ac:dyDescent="0.25">
      <c r="A69" s="7" t="s">
        <v>4340</v>
      </c>
      <c r="B69" s="8" t="s">
        <v>4341</v>
      </c>
      <c r="C69" s="8">
        <v>6.7000000000000004E-2</v>
      </c>
      <c r="D69" s="16" t="s">
        <v>6208</v>
      </c>
    </row>
    <row r="70" spans="1:4" x14ac:dyDescent="0.25">
      <c r="A70" s="4" t="s">
        <v>4342</v>
      </c>
      <c r="B70" s="5" t="s">
        <v>4343</v>
      </c>
      <c r="C70" s="5">
        <v>6.8000000000000005E-2</v>
      </c>
      <c r="D70" s="6" t="s">
        <v>6208</v>
      </c>
    </row>
    <row r="71" spans="1:4" x14ac:dyDescent="0.25">
      <c r="A71" s="7" t="s">
        <v>4344</v>
      </c>
      <c r="B71" s="8" t="s">
        <v>4345</v>
      </c>
      <c r="C71" s="8">
        <v>6.9000000000000006E-2</v>
      </c>
      <c r="D71" s="16" t="s">
        <v>6208</v>
      </c>
    </row>
    <row r="72" spans="1:4" x14ac:dyDescent="0.25">
      <c r="A72" s="4" t="s">
        <v>4346</v>
      </c>
      <c r="B72" s="5" t="s">
        <v>4347</v>
      </c>
      <c r="C72" s="5">
        <v>7.0000000000000007E-2</v>
      </c>
      <c r="D72" s="6" t="s">
        <v>6208</v>
      </c>
    </row>
    <row r="73" spans="1:4" x14ac:dyDescent="0.25">
      <c r="A73" s="7" t="s">
        <v>4348</v>
      </c>
      <c r="B73" s="8" t="s">
        <v>4349</v>
      </c>
      <c r="C73" s="8">
        <v>7.0999999999999994E-2</v>
      </c>
      <c r="D73" s="16" t="s">
        <v>6208</v>
      </c>
    </row>
    <row r="74" spans="1:4" x14ac:dyDescent="0.25">
      <c r="A74" s="4" t="s">
        <v>4350</v>
      </c>
      <c r="B74" s="5" t="s">
        <v>4351</v>
      </c>
      <c r="C74" s="5">
        <v>7.1999999999999995E-2</v>
      </c>
      <c r="D74" s="6" t="s">
        <v>6208</v>
      </c>
    </row>
    <row r="75" spans="1:4" x14ac:dyDescent="0.25">
      <c r="A75" s="7" t="s">
        <v>4352</v>
      </c>
      <c r="B75" s="8" t="s">
        <v>4353</v>
      </c>
      <c r="C75" s="8">
        <v>7.2999999999999995E-2</v>
      </c>
      <c r="D75" s="16" t="s">
        <v>6208</v>
      </c>
    </row>
    <row r="76" spans="1:4" x14ac:dyDescent="0.25">
      <c r="A76" s="4" t="s">
        <v>4354</v>
      </c>
      <c r="B76" s="5" t="s">
        <v>4355</v>
      </c>
      <c r="C76" s="5">
        <v>7.3999999999999996E-2</v>
      </c>
      <c r="D76" s="6" t="s">
        <v>6208</v>
      </c>
    </row>
    <row r="77" spans="1:4" x14ac:dyDescent="0.25">
      <c r="A77" s="7" t="s">
        <v>4356</v>
      </c>
      <c r="B77" s="8" t="s">
        <v>4357</v>
      </c>
      <c r="C77" s="8">
        <v>7.4999999999999997E-2</v>
      </c>
      <c r="D77" s="16" t="s">
        <v>6208</v>
      </c>
    </row>
    <row r="78" spans="1:4" x14ac:dyDescent="0.25">
      <c r="A78" s="4" t="s">
        <v>4358</v>
      </c>
      <c r="B78" s="5" t="s">
        <v>4359</v>
      </c>
      <c r="C78" s="5">
        <v>7.5999999999999998E-2</v>
      </c>
      <c r="D78" s="6" t="s">
        <v>6208</v>
      </c>
    </row>
    <row r="79" spans="1:4" x14ac:dyDescent="0.25">
      <c r="A79" s="7" t="s">
        <v>4360</v>
      </c>
      <c r="B79" s="8" t="s">
        <v>4361</v>
      </c>
      <c r="C79" s="8">
        <v>7.6999999999999999E-2</v>
      </c>
      <c r="D79" s="16" t="s">
        <v>6208</v>
      </c>
    </row>
    <row r="80" spans="1:4" x14ac:dyDescent="0.25">
      <c r="A80" s="4" t="s">
        <v>4362</v>
      </c>
      <c r="B80" s="5" t="s">
        <v>4363</v>
      </c>
      <c r="C80" s="5">
        <v>7.8E-2</v>
      </c>
      <c r="D80" s="6" t="s">
        <v>6208</v>
      </c>
    </row>
    <row r="81" spans="1:4" x14ac:dyDescent="0.25">
      <c r="A81" s="7" t="s">
        <v>4364</v>
      </c>
      <c r="B81" s="8" t="s">
        <v>4365</v>
      </c>
      <c r="C81" s="8">
        <v>7.9000000000000001E-2</v>
      </c>
      <c r="D81" s="16" t="s">
        <v>6208</v>
      </c>
    </row>
    <row r="82" spans="1:4" x14ac:dyDescent="0.25">
      <c r="A82" s="4" t="s">
        <v>4366</v>
      </c>
      <c r="B82" s="5" t="s">
        <v>4367</v>
      </c>
      <c r="C82" s="5">
        <v>0.08</v>
      </c>
      <c r="D82" s="6" t="s">
        <v>6208</v>
      </c>
    </row>
    <row r="83" spans="1:4" x14ac:dyDescent="0.25">
      <c r="A83" s="7" t="s">
        <v>4368</v>
      </c>
      <c r="B83" s="8" t="s">
        <v>4369</v>
      </c>
      <c r="C83" s="8">
        <v>8.1000000000000003E-2</v>
      </c>
      <c r="D83" s="16" t="s">
        <v>6208</v>
      </c>
    </row>
    <row r="84" spans="1:4" x14ac:dyDescent="0.25">
      <c r="A84" s="4" t="s">
        <v>4370</v>
      </c>
      <c r="B84" s="5" t="s">
        <v>4371</v>
      </c>
      <c r="C84" s="5">
        <v>8.2000000000000003E-2</v>
      </c>
      <c r="D84" s="6" t="s">
        <v>6208</v>
      </c>
    </row>
    <row r="85" spans="1:4" x14ac:dyDescent="0.25">
      <c r="A85" s="7" t="s">
        <v>4372</v>
      </c>
      <c r="B85" s="8" t="s">
        <v>4373</v>
      </c>
      <c r="C85" s="8">
        <v>8.3000000000000004E-2</v>
      </c>
      <c r="D85" s="16" t="s">
        <v>6208</v>
      </c>
    </row>
    <row r="86" spans="1:4" x14ac:dyDescent="0.25">
      <c r="A86" s="4" t="s">
        <v>4374</v>
      </c>
      <c r="B86" s="5" t="s">
        <v>4375</v>
      </c>
      <c r="C86" s="5">
        <v>8.4000000000000005E-2</v>
      </c>
      <c r="D86" s="6" t="s">
        <v>6208</v>
      </c>
    </row>
    <row r="87" spans="1:4" x14ac:dyDescent="0.25">
      <c r="A87" s="7" t="s">
        <v>4376</v>
      </c>
      <c r="B87" s="8" t="s">
        <v>4377</v>
      </c>
      <c r="C87" s="8">
        <v>8.5000000000000006E-2</v>
      </c>
      <c r="D87" s="16" t="s">
        <v>6208</v>
      </c>
    </row>
    <row r="88" spans="1:4" x14ac:dyDescent="0.25">
      <c r="A88" s="4" t="s">
        <v>4378</v>
      </c>
      <c r="B88" s="5" t="s">
        <v>4379</v>
      </c>
      <c r="C88" s="5">
        <v>8.5999999999999993E-2</v>
      </c>
      <c r="D88" s="6" t="s">
        <v>6208</v>
      </c>
    </row>
    <row r="89" spans="1:4" x14ac:dyDescent="0.25">
      <c r="A89" s="7" t="s">
        <v>4380</v>
      </c>
      <c r="B89" s="8" t="s">
        <v>4381</v>
      </c>
      <c r="C89" s="8">
        <v>8.6999999999999994E-2</v>
      </c>
      <c r="D89" s="16" t="s">
        <v>6208</v>
      </c>
    </row>
    <row r="90" spans="1:4" x14ac:dyDescent="0.25">
      <c r="A90" s="4" t="s">
        <v>4382</v>
      </c>
      <c r="B90" s="5" t="s">
        <v>4383</v>
      </c>
      <c r="C90" s="5">
        <v>8.7999999999999995E-2</v>
      </c>
      <c r="D90" s="6" t="s">
        <v>6208</v>
      </c>
    </row>
    <row r="91" spans="1:4" x14ac:dyDescent="0.25">
      <c r="A91" s="7" t="s">
        <v>4384</v>
      </c>
      <c r="B91" s="8" t="s">
        <v>4385</v>
      </c>
      <c r="C91" s="8">
        <v>8.8999999999999996E-2</v>
      </c>
      <c r="D91" s="16" t="s">
        <v>6208</v>
      </c>
    </row>
    <row r="92" spans="1:4" x14ac:dyDescent="0.25">
      <c r="A92" s="4" t="s">
        <v>4386</v>
      </c>
      <c r="B92" s="5" t="s">
        <v>4387</v>
      </c>
      <c r="C92" s="5">
        <v>0.09</v>
      </c>
      <c r="D92" s="6" t="s">
        <v>6208</v>
      </c>
    </row>
    <row r="93" spans="1:4" x14ac:dyDescent="0.25">
      <c r="A93" s="7" t="s">
        <v>4388</v>
      </c>
      <c r="B93" s="8" t="s">
        <v>4389</v>
      </c>
      <c r="C93" s="8">
        <v>9.0999999999999998E-2</v>
      </c>
      <c r="D93" s="16" t="s">
        <v>6208</v>
      </c>
    </row>
    <row r="94" spans="1:4" x14ac:dyDescent="0.25">
      <c r="A94" s="4" t="s">
        <v>4390</v>
      </c>
      <c r="B94" s="5" t="s">
        <v>4391</v>
      </c>
      <c r="C94" s="5">
        <v>9.1999999999999998E-2</v>
      </c>
      <c r="D94" s="6" t="s">
        <v>6208</v>
      </c>
    </row>
    <row r="95" spans="1:4" x14ac:dyDescent="0.25">
      <c r="A95" s="7" t="s">
        <v>4392</v>
      </c>
      <c r="B95" s="8" t="s">
        <v>4393</v>
      </c>
      <c r="C95" s="8">
        <v>9.2999999999999999E-2</v>
      </c>
      <c r="D95" s="16" t="s">
        <v>6208</v>
      </c>
    </row>
    <row r="96" spans="1:4" x14ac:dyDescent="0.25">
      <c r="A96" s="4" t="s">
        <v>4394</v>
      </c>
      <c r="B96" s="5" t="s">
        <v>4395</v>
      </c>
      <c r="C96" s="5">
        <v>9.4E-2</v>
      </c>
      <c r="D96" s="6" t="s">
        <v>6208</v>
      </c>
    </row>
    <row r="97" spans="1:4" x14ac:dyDescent="0.25">
      <c r="A97" s="7" t="s">
        <v>4396</v>
      </c>
      <c r="B97" s="8" t="s">
        <v>4397</v>
      </c>
      <c r="C97" s="8">
        <v>9.5000000000000001E-2</v>
      </c>
      <c r="D97" s="16" t="s">
        <v>6208</v>
      </c>
    </row>
    <row r="98" spans="1:4" x14ac:dyDescent="0.25">
      <c r="A98" s="4" t="s">
        <v>4398</v>
      </c>
      <c r="B98" s="5" t="s">
        <v>4399</v>
      </c>
      <c r="C98" s="5">
        <v>9.6000000000000099E-2</v>
      </c>
      <c r="D98" s="6" t="s">
        <v>6208</v>
      </c>
    </row>
    <row r="99" spans="1:4" x14ac:dyDescent="0.25">
      <c r="A99" s="7" t="s">
        <v>4400</v>
      </c>
      <c r="B99" s="8" t="s">
        <v>4401</v>
      </c>
      <c r="C99" s="8">
        <v>9.70000000000001E-2</v>
      </c>
      <c r="D99" s="16" t="s">
        <v>6208</v>
      </c>
    </row>
    <row r="100" spans="1:4" x14ac:dyDescent="0.25">
      <c r="A100" s="4" t="s">
        <v>4402</v>
      </c>
      <c r="B100" s="5" t="s">
        <v>4403</v>
      </c>
      <c r="C100" s="5">
        <v>9.8000000000000101E-2</v>
      </c>
      <c r="D100" s="6" t="s">
        <v>6208</v>
      </c>
    </row>
    <row r="101" spans="1:4" x14ac:dyDescent="0.25">
      <c r="A101" s="7" t="s">
        <v>4404</v>
      </c>
      <c r="B101" s="8" t="s">
        <v>4405</v>
      </c>
      <c r="C101" s="8">
        <v>9.9000000000000102E-2</v>
      </c>
      <c r="D101" s="16" t="s">
        <v>6208</v>
      </c>
    </row>
    <row r="102" spans="1:4" x14ac:dyDescent="0.25">
      <c r="A102" s="4" t="s">
        <v>4406</v>
      </c>
      <c r="B102" s="5" t="s">
        <v>4407</v>
      </c>
      <c r="C102" s="5">
        <v>0.1</v>
      </c>
      <c r="D102" s="6" t="s">
        <v>6208</v>
      </c>
    </row>
    <row r="103" spans="1:4" x14ac:dyDescent="0.25">
      <c r="A103" s="7" t="s">
        <v>4408</v>
      </c>
      <c r="B103" s="8" t="s">
        <v>4409</v>
      </c>
      <c r="C103" s="8">
        <v>0.10100000000000001</v>
      </c>
      <c r="D103" s="16" t="s">
        <v>6208</v>
      </c>
    </row>
    <row r="104" spans="1:4" x14ac:dyDescent="0.25">
      <c r="A104" s="4" t="s">
        <v>4410</v>
      </c>
      <c r="B104" s="5" t="s">
        <v>4411</v>
      </c>
      <c r="C104" s="5">
        <v>0.10199999999999999</v>
      </c>
      <c r="D104" s="6" t="s">
        <v>6208</v>
      </c>
    </row>
    <row r="105" spans="1:4" x14ac:dyDescent="0.25">
      <c r="A105" s="7" t="s">
        <v>4412</v>
      </c>
      <c r="B105" s="8" t="s">
        <v>4413</v>
      </c>
      <c r="C105" s="8">
        <v>0.10299999999999999</v>
      </c>
      <c r="D105" s="16" t="s">
        <v>6208</v>
      </c>
    </row>
    <row r="106" spans="1:4" x14ac:dyDescent="0.25">
      <c r="A106" s="4" t="s">
        <v>4414</v>
      </c>
      <c r="B106" s="5" t="s">
        <v>4415</v>
      </c>
      <c r="C106" s="5">
        <v>0.104</v>
      </c>
      <c r="D106" s="6" t="s">
        <v>6208</v>
      </c>
    </row>
    <row r="107" spans="1:4" x14ac:dyDescent="0.25">
      <c r="A107" s="7" t="s">
        <v>4416</v>
      </c>
      <c r="B107" s="8" t="s">
        <v>4417</v>
      </c>
      <c r="C107" s="8">
        <v>0.105</v>
      </c>
      <c r="D107" s="16" t="s">
        <v>6208</v>
      </c>
    </row>
    <row r="108" spans="1:4" x14ac:dyDescent="0.25">
      <c r="A108" s="4" t="s">
        <v>4418</v>
      </c>
      <c r="B108" s="5" t="s">
        <v>4419</v>
      </c>
      <c r="C108" s="5">
        <v>0.106</v>
      </c>
      <c r="D108" s="6" t="s">
        <v>6208</v>
      </c>
    </row>
    <row r="109" spans="1:4" x14ac:dyDescent="0.25">
      <c r="A109" s="7" t="s">
        <v>4420</v>
      </c>
      <c r="B109" s="8" t="s">
        <v>4421</v>
      </c>
      <c r="C109" s="8">
        <v>0.107</v>
      </c>
      <c r="D109" s="16" t="s">
        <v>6208</v>
      </c>
    </row>
    <row r="110" spans="1:4" x14ac:dyDescent="0.25">
      <c r="A110" s="4" t="s">
        <v>4422</v>
      </c>
      <c r="B110" s="5" t="s">
        <v>4423</v>
      </c>
      <c r="C110" s="5">
        <v>0.108</v>
      </c>
      <c r="D110" s="6" t="s">
        <v>6208</v>
      </c>
    </row>
    <row r="111" spans="1:4" x14ac:dyDescent="0.25">
      <c r="A111" s="7" t="s">
        <v>4424</v>
      </c>
      <c r="B111" s="8" t="s">
        <v>4425</v>
      </c>
      <c r="C111" s="8">
        <v>0.109</v>
      </c>
      <c r="D111" s="16" t="s">
        <v>6208</v>
      </c>
    </row>
    <row r="112" spans="1:4" x14ac:dyDescent="0.25">
      <c r="A112" s="4" t="s">
        <v>4426</v>
      </c>
      <c r="B112" s="5" t="s">
        <v>4427</v>
      </c>
      <c r="C112" s="5">
        <v>0.11</v>
      </c>
      <c r="D112" s="6" t="s">
        <v>6208</v>
      </c>
    </row>
    <row r="113" spans="1:4" x14ac:dyDescent="0.25">
      <c r="A113" s="7" t="s">
        <v>4428</v>
      </c>
      <c r="B113" s="8" t="s">
        <v>4429</v>
      </c>
      <c r="C113" s="8">
        <v>0.111</v>
      </c>
      <c r="D113" s="16" t="s">
        <v>6208</v>
      </c>
    </row>
    <row r="114" spans="1:4" x14ac:dyDescent="0.25">
      <c r="A114" s="4" t="s">
        <v>4430</v>
      </c>
      <c r="B114" s="5" t="s">
        <v>4431</v>
      </c>
      <c r="C114" s="5">
        <v>0.112</v>
      </c>
      <c r="D114" s="6" t="s">
        <v>6208</v>
      </c>
    </row>
    <row r="115" spans="1:4" x14ac:dyDescent="0.25">
      <c r="A115" s="7" t="s">
        <v>4432</v>
      </c>
      <c r="B115" s="8" t="s">
        <v>4433</v>
      </c>
      <c r="C115" s="8">
        <v>0.113</v>
      </c>
      <c r="D115" s="16" t="s">
        <v>6208</v>
      </c>
    </row>
    <row r="116" spans="1:4" x14ac:dyDescent="0.25">
      <c r="A116" s="4" t="s">
        <v>4434</v>
      </c>
      <c r="B116" s="5" t="s">
        <v>4435</v>
      </c>
      <c r="C116" s="5">
        <v>0.114</v>
      </c>
      <c r="D116" s="6" t="s">
        <v>6208</v>
      </c>
    </row>
    <row r="117" spans="1:4" x14ac:dyDescent="0.25">
      <c r="A117" s="7" t="s">
        <v>4436</v>
      </c>
      <c r="B117" s="8" t="s">
        <v>4437</v>
      </c>
      <c r="C117" s="8">
        <v>0.115</v>
      </c>
      <c r="D117" s="16" t="s">
        <v>6208</v>
      </c>
    </row>
    <row r="118" spans="1:4" x14ac:dyDescent="0.25">
      <c r="A118" s="4" t="s">
        <v>4438</v>
      </c>
      <c r="B118" s="5" t="s">
        <v>4439</v>
      </c>
      <c r="C118" s="5">
        <v>0.11600000000000001</v>
      </c>
      <c r="D118" s="6" t="s">
        <v>6208</v>
      </c>
    </row>
    <row r="119" spans="1:4" x14ac:dyDescent="0.25">
      <c r="A119" s="7" t="s">
        <v>4440</v>
      </c>
      <c r="B119" s="8" t="s">
        <v>4441</v>
      </c>
      <c r="C119" s="8">
        <v>0.11700000000000001</v>
      </c>
      <c r="D119" s="16" t="s">
        <v>6208</v>
      </c>
    </row>
    <row r="120" spans="1:4" x14ac:dyDescent="0.25">
      <c r="A120" s="4" t="s">
        <v>4442</v>
      </c>
      <c r="B120" s="5" t="s">
        <v>4443</v>
      </c>
      <c r="C120" s="5">
        <v>0.11799999999999999</v>
      </c>
      <c r="D120" s="6" t="s">
        <v>6208</v>
      </c>
    </row>
    <row r="121" spans="1:4" x14ac:dyDescent="0.25">
      <c r="A121" s="7" t="s">
        <v>4444</v>
      </c>
      <c r="B121" s="8" t="s">
        <v>4445</v>
      </c>
      <c r="C121" s="8">
        <v>0.11899999999999999</v>
      </c>
      <c r="D121" s="16" t="s">
        <v>6208</v>
      </c>
    </row>
    <row r="122" spans="1:4" x14ac:dyDescent="0.25">
      <c r="A122" s="4" t="s">
        <v>4446</v>
      </c>
      <c r="B122" s="5" t="s">
        <v>4447</v>
      </c>
      <c r="C122" s="5">
        <v>0.12</v>
      </c>
      <c r="D122" s="6" t="s">
        <v>6208</v>
      </c>
    </row>
    <row r="123" spans="1:4" x14ac:dyDescent="0.25">
      <c r="A123" s="7" t="s">
        <v>4448</v>
      </c>
      <c r="B123" s="8" t="s">
        <v>4449</v>
      </c>
      <c r="C123" s="8">
        <v>0.121</v>
      </c>
      <c r="D123" s="16" t="s">
        <v>6208</v>
      </c>
    </row>
    <row r="124" spans="1:4" x14ac:dyDescent="0.25">
      <c r="A124" s="4" t="s">
        <v>4450</v>
      </c>
      <c r="B124" s="5" t="s">
        <v>4451</v>
      </c>
      <c r="C124" s="5">
        <v>0.122</v>
      </c>
      <c r="D124" s="6" t="s">
        <v>6208</v>
      </c>
    </row>
    <row r="125" spans="1:4" x14ac:dyDescent="0.25">
      <c r="A125" s="7" t="s">
        <v>4452</v>
      </c>
      <c r="B125" s="8" t="s">
        <v>4453</v>
      </c>
      <c r="C125" s="8">
        <v>0.123</v>
      </c>
      <c r="D125" s="16" t="s">
        <v>6208</v>
      </c>
    </row>
    <row r="126" spans="1:4" x14ac:dyDescent="0.25">
      <c r="A126" s="4" t="s">
        <v>4454</v>
      </c>
      <c r="B126" s="5" t="s">
        <v>4455</v>
      </c>
      <c r="C126" s="5">
        <v>0.124</v>
      </c>
      <c r="D126" s="6" t="s">
        <v>6208</v>
      </c>
    </row>
    <row r="127" spans="1:4" x14ac:dyDescent="0.25">
      <c r="A127" s="7" t="s">
        <v>4456</v>
      </c>
      <c r="B127" s="8" t="s">
        <v>4457</v>
      </c>
      <c r="C127" s="8">
        <v>0.125</v>
      </c>
      <c r="D127" s="16" t="s">
        <v>6208</v>
      </c>
    </row>
    <row r="128" spans="1:4" x14ac:dyDescent="0.25">
      <c r="A128" s="4" t="s">
        <v>4458</v>
      </c>
      <c r="B128" s="5" t="s">
        <v>4459</v>
      </c>
      <c r="C128" s="5">
        <v>0.126</v>
      </c>
      <c r="D128" s="6" t="s">
        <v>6208</v>
      </c>
    </row>
    <row r="129" spans="1:4" x14ac:dyDescent="0.25">
      <c r="A129" s="7" t="s">
        <v>4460</v>
      </c>
      <c r="B129" s="8" t="s">
        <v>4461</v>
      </c>
      <c r="C129" s="8">
        <v>0.127</v>
      </c>
      <c r="D129" s="16" t="s">
        <v>6208</v>
      </c>
    </row>
    <row r="130" spans="1:4" x14ac:dyDescent="0.25">
      <c r="A130" s="4" t="s">
        <v>4462</v>
      </c>
      <c r="B130" s="5" t="s">
        <v>4463</v>
      </c>
      <c r="C130" s="5">
        <v>0.128</v>
      </c>
      <c r="D130" s="6" t="s">
        <v>6208</v>
      </c>
    </row>
    <row r="131" spans="1:4" x14ac:dyDescent="0.25">
      <c r="A131" s="7" t="s">
        <v>4464</v>
      </c>
      <c r="B131" s="8" t="s">
        <v>4465</v>
      </c>
      <c r="C131" s="8">
        <v>0.129</v>
      </c>
      <c r="D131" s="16" t="s">
        <v>6208</v>
      </c>
    </row>
    <row r="132" spans="1:4" x14ac:dyDescent="0.25">
      <c r="A132" s="4" t="s">
        <v>4466</v>
      </c>
      <c r="B132" s="5" t="s">
        <v>4467</v>
      </c>
      <c r="C132" s="5">
        <v>0.13</v>
      </c>
      <c r="D132" s="6" t="s">
        <v>6208</v>
      </c>
    </row>
    <row r="133" spans="1:4" x14ac:dyDescent="0.25">
      <c r="A133" s="7" t="s">
        <v>4468</v>
      </c>
      <c r="B133" s="8" t="s">
        <v>4469</v>
      </c>
      <c r="C133" s="8">
        <v>0.13100000000000001</v>
      </c>
      <c r="D133" s="16" t="s">
        <v>6208</v>
      </c>
    </row>
    <row r="134" spans="1:4" x14ac:dyDescent="0.25">
      <c r="A134" s="4" t="s">
        <v>4470</v>
      </c>
      <c r="B134" s="5" t="s">
        <v>4471</v>
      </c>
      <c r="C134" s="5">
        <v>0.13200000000000001</v>
      </c>
      <c r="D134" s="6" t="s">
        <v>6208</v>
      </c>
    </row>
    <row r="135" spans="1:4" x14ac:dyDescent="0.25">
      <c r="A135" s="7" t="s">
        <v>4472</v>
      </c>
      <c r="B135" s="8" t="s">
        <v>4473</v>
      </c>
      <c r="C135" s="8">
        <v>0.13300000000000001</v>
      </c>
      <c r="D135" s="16" t="s">
        <v>6208</v>
      </c>
    </row>
    <row r="136" spans="1:4" x14ac:dyDescent="0.25">
      <c r="A136" s="4" t="s">
        <v>4474</v>
      </c>
      <c r="B136" s="5" t="s">
        <v>4475</v>
      </c>
      <c r="C136" s="5">
        <v>0.13400000000000001</v>
      </c>
      <c r="D136" s="6" t="s">
        <v>6208</v>
      </c>
    </row>
    <row r="137" spans="1:4" x14ac:dyDescent="0.25">
      <c r="A137" s="7" t="s">
        <v>4476</v>
      </c>
      <c r="B137" s="8" t="s">
        <v>4477</v>
      </c>
      <c r="C137" s="8">
        <v>0.13500000000000001</v>
      </c>
      <c r="D137" s="16" t="s">
        <v>6208</v>
      </c>
    </row>
    <row r="138" spans="1:4" x14ac:dyDescent="0.25">
      <c r="A138" s="4" t="s">
        <v>4478</v>
      </c>
      <c r="B138" s="5" t="s">
        <v>4479</v>
      </c>
      <c r="C138" s="5">
        <v>0.13600000000000001</v>
      </c>
      <c r="D138" s="6" t="s">
        <v>6208</v>
      </c>
    </row>
    <row r="139" spans="1:4" x14ac:dyDescent="0.25">
      <c r="A139" s="7" t="s">
        <v>4480</v>
      </c>
      <c r="B139" s="8" t="s">
        <v>4481</v>
      </c>
      <c r="C139" s="8">
        <v>0.13700000000000001</v>
      </c>
      <c r="D139" s="16" t="s">
        <v>6208</v>
      </c>
    </row>
    <row r="140" spans="1:4" x14ac:dyDescent="0.25">
      <c r="A140" s="4" t="s">
        <v>4482</v>
      </c>
      <c r="B140" s="5" t="s">
        <v>4483</v>
      </c>
      <c r="C140" s="5">
        <v>0.13800000000000001</v>
      </c>
      <c r="D140" s="6" t="s">
        <v>6208</v>
      </c>
    </row>
    <row r="141" spans="1:4" x14ac:dyDescent="0.25">
      <c r="A141" s="7" t="s">
        <v>4484</v>
      </c>
      <c r="B141" s="8" t="s">
        <v>4485</v>
      </c>
      <c r="C141" s="8">
        <v>0.13900000000000001</v>
      </c>
      <c r="D141" s="16" t="s">
        <v>6208</v>
      </c>
    </row>
    <row r="142" spans="1:4" x14ac:dyDescent="0.25">
      <c r="A142" s="4" t="s">
        <v>4486</v>
      </c>
      <c r="B142" s="5" t="s">
        <v>4487</v>
      </c>
      <c r="C142" s="5">
        <v>0.14000000000000001</v>
      </c>
      <c r="D142" s="6" t="s">
        <v>6208</v>
      </c>
    </row>
    <row r="143" spans="1:4" x14ac:dyDescent="0.25">
      <c r="A143" s="7" t="s">
        <v>4488</v>
      </c>
      <c r="B143" s="8" t="s">
        <v>4489</v>
      </c>
      <c r="C143" s="8">
        <v>0.14099999999999999</v>
      </c>
      <c r="D143" s="16" t="s">
        <v>6208</v>
      </c>
    </row>
    <row r="144" spans="1:4" x14ac:dyDescent="0.25">
      <c r="A144" s="4" t="s">
        <v>4490</v>
      </c>
      <c r="B144" s="5" t="s">
        <v>4491</v>
      </c>
      <c r="C144" s="5">
        <v>0.14199999999999999</v>
      </c>
      <c r="D144" s="6" t="s">
        <v>6208</v>
      </c>
    </row>
    <row r="145" spans="1:4" x14ac:dyDescent="0.25">
      <c r="A145" s="7" t="s">
        <v>4492</v>
      </c>
      <c r="B145" s="8" t="s">
        <v>4493</v>
      </c>
      <c r="C145" s="8">
        <v>0.14299999999999999</v>
      </c>
      <c r="D145" s="16" t="s">
        <v>6208</v>
      </c>
    </row>
    <row r="146" spans="1:4" x14ac:dyDescent="0.25">
      <c r="A146" s="4" t="s">
        <v>4494</v>
      </c>
      <c r="B146" s="5" t="s">
        <v>4495</v>
      </c>
      <c r="C146" s="5">
        <v>0.14399999999999999</v>
      </c>
      <c r="D146" s="6" t="s">
        <v>6208</v>
      </c>
    </row>
    <row r="147" spans="1:4" x14ac:dyDescent="0.25">
      <c r="A147" s="7" t="s">
        <v>4496</v>
      </c>
      <c r="B147" s="8" t="s">
        <v>4497</v>
      </c>
      <c r="C147" s="8">
        <v>0.14499999999999999</v>
      </c>
      <c r="D147" s="16" t="s">
        <v>6208</v>
      </c>
    </row>
    <row r="148" spans="1:4" x14ac:dyDescent="0.25">
      <c r="A148" s="4" t="s">
        <v>4498</v>
      </c>
      <c r="B148" s="5" t="s">
        <v>4499</v>
      </c>
      <c r="C148" s="5">
        <v>0.14599999999999999</v>
      </c>
      <c r="D148" s="6" t="s">
        <v>6208</v>
      </c>
    </row>
    <row r="149" spans="1:4" x14ac:dyDescent="0.25">
      <c r="A149" s="7" t="s">
        <v>4500</v>
      </c>
      <c r="B149" s="8" t="s">
        <v>4501</v>
      </c>
      <c r="C149" s="8">
        <v>0.14699999999999999</v>
      </c>
      <c r="D149" s="16" t="s">
        <v>6208</v>
      </c>
    </row>
    <row r="150" spans="1:4" x14ac:dyDescent="0.25">
      <c r="A150" s="4" t="s">
        <v>4502</v>
      </c>
      <c r="B150" s="5" t="s">
        <v>4503</v>
      </c>
      <c r="C150" s="5">
        <v>0.14799999999999999</v>
      </c>
      <c r="D150" s="6" t="s">
        <v>6208</v>
      </c>
    </row>
    <row r="151" spans="1:4" x14ac:dyDescent="0.25">
      <c r="A151" s="7" t="s">
        <v>4504</v>
      </c>
      <c r="B151" s="8" t="s">
        <v>4505</v>
      </c>
      <c r="C151" s="8">
        <v>0.14899999999999999</v>
      </c>
      <c r="D151" s="16" t="s">
        <v>6208</v>
      </c>
    </row>
    <row r="152" spans="1:4" x14ac:dyDescent="0.25">
      <c r="A152" s="4" t="s">
        <v>4506</v>
      </c>
      <c r="B152" s="5" t="s">
        <v>4507</v>
      </c>
      <c r="C152" s="5">
        <v>0.15</v>
      </c>
      <c r="D152" s="6" t="s">
        <v>6208</v>
      </c>
    </row>
    <row r="153" spans="1:4" x14ac:dyDescent="0.25">
      <c r="A153" s="7" t="s">
        <v>4508</v>
      </c>
      <c r="B153" s="8" t="s">
        <v>4509</v>
      </c>
      <c r="C153" s="8">
        <v>0.151</v>
      </c>
      <c r="D153" s="16" t="s">
        <v>6208</v>
      </c>
    </row>
    <row r="154" spans="1:4" x14ac:dyDescent="0.25">
      <c r="A154" s="4" t="s">
        <v>4510</v>
      </c>
      <c r="B154" s="5" t="s">
        <v>4511</v>
      </c>
      <c r="C154" s="5">
        <v>0.152</v>
      </c>
      <c r="D154" s="6" t="s">
        <v>6208</v>
      </c>
    </row>
    <row r="155" spans="1:4" x14ac:dyDescent="0.25">
      <c r="A155" s="7" t="s">
        <v>4512</v>
      </c>
      <c r="B155" s="8" t="s">
        <v>4513</v>
      </c>
      <c r="C155" s="8">
        <v>0.153</v>
      </c>
      <c r="D155" s="16" t="s">
        <v>6208</v>
      </c>
    </row>
    <row r="156" spans="1:4" x14ac:dyDescent="0.25">
      <c r="A156" s="4" t="s">
        <v>4514</v>
      </c>
      <c r="B156" s="5" t="s">
        <v>4515</v>
      </c>
      <c r="C156" s="5">
        <v>0.154</v>
      </c>
      <c r="D156" s="6" t="s">
        <v>6208</v>
      </c>
    </row>
    <row r="157" spans="1:4" x14ac:dyDescent="0.25">
      <c r="A157" s="7" t="s">
        <v>4516</v>
      </c>
      <c r="B157" s="8" t="s">
        <v>4517</v>
      </c>
      <c r="C157" s="8">
        <v>0.155</v>
      </c>
      <c r="D157" s="16" t="s">
        <v>6208</v>
      </c>
    </row>
    <row r="158" spans="1:4" x14ac:dyDescent="0.25">
      <c r="A158" s="4" t="s">
        <v>4518</v>
      </c>
      <c r="B158" s="5" t="s">
        <v>4519</v>
      </c>
      <c r="C158" s="5">
        <v>0.156</v>
      </c>
      <c r="D158" s="6" t="s">
        <v>6208</v>
      </c>
    </row>
    <row r="159" spans="1:4" x14ac:dyDescent="0.25">
      <c r="A159" s="7" t="s">
        <v>4520</v>
      </c>
      <c r="B159" s="8" t="s">
        <v>4521</v>
      </c>
      <c r="C159" s="8">
        <v>0.157</v>
      </c>
      <c r="D159" s="16" t="s">
        <v>6208</v>
      </c>
    </row>
    <row r="160" spans="1:4" x14ac:dyDescent="0.25">
      <c r="A160" s="4" t="s">
        <v>4522</v>
      </c>
      <c r="B160" s="5" t="s">
        <v>4523</v>
      </c>
      <c r="C160" s="5">
        <v>0.158</v>
      </c>
      <c r="D160" s="6" t="s">
        <v>6208</v>
      </c>
    </row>
    <row r="161" spans="1:4" x14ac:dyDescent="0.25">
      <c r="A161" s="7" t="s">
        <v>4524</v>
      </c>
      <c r="B161" s="8" t="s">
        <v>4525</v>
      </c>
      <c r="C161" s="8">
        <v>0.159</v>
      </c>
      <c r="D161" s="16" t="s">
        <v>6208</v>
      </c>
    </row>
    <row r="162" spans="1:4" x14ac:dyDescent="0.25">
      <c r="A162" s="4" t="s">
        <v>4526</v>
      </c>
      <c r="B162" s="5" t="s">
        <v>4527</v>
      </c>
      <c r="C162" s="5">
        <v>0.16</v>
      </c>
      <c r="D162" s="6" t="s">
        <v>6208</v>
      </c>
    </row>
    <row r="163" spans="1:4" x14ac:dyDescent="0.25">
      <c r="A163" s="7" t="s">
        <v>4528</v>
      </c>
      <c r="B163" s="8" t="s">
        <v>4529</v>
      </c>
      <c r="C163" s="8">
        <v>0.161</v>
      </c>
      <c r="D163" s="16" t="s">
        <v>6208</v>
      </c>
    </row>
    <row r="164" spans="1:4" x14ac:dyDescent="0.25">
      <c r="A164" s="4" t="s">
        <v>4530</v>
      </c>
      <c r="B164" s="5" t="s">
        <v>4531</v>
      </c>
      <c r="C164" s="5">
        <v>0.16200000000000001</v>
      </c>
      <c r="D164" s="6" t="s">
        <v>6208</v>
      </c>
    </row>
    <row r="165" spans="1:4" x14ac:dyDescent="0.25">
      <c r="A165" s="7" t="s">
        <v>4532</v>
      </c>
      <c r="B165" s="8" t="s">
        <v>4533</v>
      </c>
      <c r="C165" s="8">
        <v>0.16300000000000001</v>
      </c>
      <c r="D165" s="16" t="s">
        <v>6208</v>
      </c>
    </row>
    <row r="166" spans="1:4" x14ac:dyDescent="0.25">
      <c r="A166" s="4" t="s">
        <v>4534</v>
      </c>
      <c r="B166" s="5" t="s">
        <v>4535</v>
      </c>
      <c r="C166" s="5">
        <v>0.16400000000000001</v>
      </c>
      <c r="D166" s="6" t="s">
        <v>6208</v>
      </c>
    </row>
    <row r="167" spans="1:4" x14ac:dyDescent="0.25">
      <c r="A167" s="7" t="s">
        <v>4536</v>
      </c>
      <c r="B167" s="8" t="s">
        <v>4537</v>
      </c>
      <c r="C167" s="8">
        <v>0.16500000000000001</v>
      </c>
      <c r="D167" s="16" t="s">
        <v>6208</v>
      </c>
    </row>
    <row r="168" spans="1:4" x14ac:dyDescent="0.25">
      <c r="A168" s="4" t="s">
        <v>4538</v>
      </c>
      <c r="B168" s="5" t="s">
        <v>4539</v>
      </c>
      <c r="C168" s="5">
        <v>0.16600000000000001</v>
      </c>
      <c r="D168" s="6" t="s">
        <v>6208</v>
      </c>
    </row>
    <row r="169" spans="1:4" x14ac:dyDescent="0.25">
      <c r="A169" s="7" t="s">
        <v>4540</v>
      </c>
      <c r="B169" s="8" t="s">
        <v>4541</v>
      </c>
      <c r="C169" s="8">
        <v>0.16700000000000001</v>
      </c>
      <c r="D169" s="16" t="s">
        <v>6208</v>
      </c>
    </row>
    <row r="170" spans="1:4" x14ac:dyDescent="0.25">
      <c r="A170" s="4" t="s">
        <v>4542</v>
      </c>
      <c r="B170" s="5" t="s">
        <v>4543</v>
      </c>
      <c r="C170" s="5">
        <v>0.16800000000000001</v>
      </c>
      <c r="D170" s="6" t="s">
        <v>6208</v>
      </c>
    </row>
    <row r="171" spans="1:4" x14ac:dyDescent="0.25">
      <c r="A171" s="7" t="s">
        <v>4544</v>
      </c>
      <c r="B171" s="8" t="s">
        <v>4545</v>
      </c>
      <c r="C171" s="8">
        <v>0.16900000000000001</v>
      </c>
      <c r="D171" s="16" t="s">
        <v>6208</v>
      </c>
    </row>
    <row r="172" spans="1:4" x14ac:dyDescent="0.25">
      <c r="A172" s="4" t="s">
        <v>4546</v>
      </c>
      <c r="B172" s="5" t="s">
        <v>4547</v>
      </c>
      <c r="C172" s="5">
        <v>0.17</v>
      </c>
      <c r="D172" s="6" t="s">
        <v>6208</v>
      </c>
    </row>
    <row r="173" spans="1:4" x14ac:dyDescent="0.25">
      <c r="A173" s="7" t="s">
        <v>4548</v>
      </c>
      <c r="B173" s="8" t="s">
        <v>4549</v>
      </c>
      <c r="C173" s="8">
        <v>0.17100000000000001</v>
      </c>
      <c r="D173" s="16" t="s">
        <v>6208</v>
      </c>
    </row>
    <row r="174" spans="1:4" x14ac:dyDescent="0.25">
      <c r="A174" s="4" t="s">
        <v>4550</v>
      </c>
      <c r="B174" s="5" t="s">
        <v>4551</v>
      </c>
      <c r="C174" s="5">
        <v>0.17199999999999999</v>
      </c>
      <c r="D174" s="6" t="s">
        <v>6208</v>
      </c>
    </row>
    <row r="175" spans="1:4" x14ac:dyDescent="0.25">
      <c r="A175" s="7" t="s">
        <v>4552</v>
      </c>
      <c r="B175" s="8" t="s">
        <v>4553</v>
      </c>
      <c r="C175" s="8">
        <v>0.17299999999999999</v>
      </c>
      <c r="D175" s="16" t="s">
        <v>6208</v>
      </c>
    </row>
    <row r="176" spans="1:4" x14ac:dyDescent="0.25">
      <c r="A176" s="4" t="s">
        <v>4554</v>
      </c>
      <c r="B176" s="5" t="s">
        <v>4555</v>
      </c>
      <c r="C176" s="5">
        <v>0.17399999999999999</v>
      </c>
      <c r="D176" s="6" t="s">
        <v>6208</v>
      </c>
    </row>
    <row r="177" spans="1:4" x14ac:dyDescent="0.25">
      <c r="A177" s="7" t="s">
        <v>4556</v>
      </c>
      <c r="B177" s="8" t="s">
        <v>4557</v>
      </c>
      <c r="C177" s="8">
        <v>0.17499999999999999</v>
      </c>
      <c r="D177" s="16" t="s">
        <v>6208</v>
      </c>
    </row>
    <row r="178" spans="1:4" x14ac:dyDescent="0.25">
      <c r="A178" s="4" t="s">
        <v>4558</v>
      </c>
      <c r="B178" s="5" t="s">
        <v>4559</v>
      </c>
      <c r="C178" s="5">
        <v>0.17599999999999999</v>
      </c>
      <c r="D178" s="6" t="s">
        <v>6208</v>
      </c>
    </row>
    <row r="179" spans="1:4" x14ac:dyDescent="0.25">
      <c r="A179" s="7" t="s">
        <v>4560</v>
      </c>
      <c r="B179" s="8" t="s">
        <v>4561</v>
      </c>
      <c r="C179" s="8">
        <v>0.17699999999999999</v>
      </c>
      <c r="D179" s="16" t="s">
        <v>6208</v>
      </c>
    </row>
    <row r="180" spans="1:4" x14ac:dyDescent="0.25">
      <c r="A180" s="4" t="s">
        <v>4562</v>
      </c>
      <c r="B180" s="5" t="s">
        <v>4563</v>
      </c>
      <c r="C180" s="5">
        <v>0.17799999999999999</v>
      </c>
      <c r="D180" s="6" t="s">
        <v>6208</v>
      </c>
    </row>
    <row r="181" spans="1:4" x14ac:dyDescent="0.25">
      <c r="A181" s="7" t="s">
        <v>4564</v>
      </c>
      <c r="B181" s="8" t="s">
        <v>4565</v>
      </c>
      <c r="C181" s="8">
        <v>0.17899999999999999</v>
      </c>
      <c r="D181" s="16" t="s">
        <v>6208</v>
      </c>
    </row>
    <row r="182" spans="1:4" x14ac:dyDescent="0.25">
      <c r="A182" s="4" t="s">
        <v>4566</v>
      </c>
      <c r="B182" s="5" t="s">
        <v>4567</v>
      </c>
      <c r="C182" s="5">
        <v>0.18</v>
      </c>
      <c r="D182" s="6" t="s">
        <v>6208</v>
      </c>
    </row>
    <row r="183" spans="1:4" x14ac:dyDescent="0.25">
      <c r="A183" s="7" t="s">
        <v>4568</v>
      </c>
      <c r="B183" s="8" t="s">
        <v>4569</v>
      </c>
      <c r="C183" s="8">
        <v>0.18099999999999999</v>
      </c>
      <c r="D183" s="16" t="s">
        <v>6208</v>
      </c>
    </row>
    <row r="184" spans="1:4" x14ac:dyDescent="0.25">
      <c r="A184" s="4" t="s">
        <v>4570</v>
      </c>
      <c r="B184" s="5" t="s">
        <v>4571</v>
      </c>
      <c r="C184" s="5">
        <v>0.182</v>
      </c>
      <c r="D184" s="6" t="s">
        <v>6208</v>
      </c>
    </row>
    <row r="185" spans="1:4" x14ac:dyDescent="0.25">
      <c r="A185" s="7" t="s">
        <v>4572</v>
      </c>
      <c r="B185" s="8" t="s">
        <v>4573</v>
      </c>
      <c r="C185" s="8">
        <v>0.183</v>
      </c>
      <c r="D185" s="16" t="s">
        <v>6208</v>
      </c>
    </row>
    <row r="186" spans="1:4" x14ac:dyDescent="0.25">
      <c r="A186" s="4" t="s">
        <v>4574</v>
      </c>
      <c r="B186" s="5" t="s">
        <v>4575</v>
      </c>
      <c r="C186" s="5">
        <v>0.184</v>
      </c>
      <c r="D186" s="6" t="s">
        <v>6208</v>
      </c>
    </row>
    <row r="187" spans="1:4" x14ac:dyDescent="0.25">
      <c r="A187" s="7" t="s">
        <v>4576</v>
      </c>
      <c r="B187" s="8" t="s">
        <v>4577</v>
      </c>
      <c r="C187" s="8">
        <v>0.185</v>
      </c>
      <c r="D187" s="16" t="s">
        <v>6208</v>
      </c>
    </row>
    <row r="188" spans="1:4" x14ac:dyDescent="0.25">
      <c r="A188" s="4" t="s">
        <v>4578</v>
      </c>
      <c r="B188" s="5" t="s">
        <v>4579</v>
      </c>
      <c r="C188" s="5">
        <v>0.186</v>
      </c>
      <c r="D188" s="6" t="s">
        <v>6208</v>
      </c>
    </row>
    <row r="189" spans="1:4" x14ac:dyDescent="0.25">
      <c r="A189" s="7" t="s">
        <v>4580</v>
      </c>
      <c r="B189" s="8" t="s">
        <v>4581</v>
      </c>
      <c r="C189" s="8">
        <v>0.187</v>
      </c>
      <c r="D189" s="16" t="s">
        <v>6208</v>
      </c>
    </row>
    <row r="190" spans="1:4" x14ac:dyDescent="0.25">
      <c r="A190" s="4" t="s">
        <v>4582</v>
      </c>
      <c r="B190" s="5" t="s">
        <v>4583</v>
      </c>
      <c r="C190" s="5">
        <v>0.188</v>
      </c>
      <c r="D190" s="6" t="s">
        <v>6208</v>
      </c>
    </row>
    <row r="191" spans="1:4" x14ac:dyDescent="0.25">
      <c r="A191" s="7" t="s">
        <v>4584</v>
      </c>
      <c r="B191" s="8" t="s">
        <v>4585</v>
      </c>
      <c r="C191" s="8">
        <v>0.189</v>
      </c>
      <c r="D191" s="16" t="s">
        <v>6208</v>
      </c>
    </row>
    <row r="192" spans="1:4" x14ac:dyDescent="0.25">
      <c r="A192" s="4" t="s">
        <v>4586</v>
      </c>
      <c r="B192" s="5" t="s">
        <v>4587</v>
      </c>
      <c r="C192" s="5">
        <v>0.19</v>
      </c>
      <c r="D192" s="6" t="s">
        <v>6208</v>
      </c>
    </row>
    <row r="193" spans="1:4" x14ac:dyDescent="0.25">
      <c r="A193" s="7" t="s">
        <v>4588</v>
      </c>
      <c r="B193" s="8" t="s">
        <v>4589</v>
      </c>
      <c r="C193" s="8">
        <v>0.191</v>
      </c>
      <c r="D193" s="16" t="s">
        <v>6208</v>
      </c>
    </row>
    <row r="194" spans="1:4" x14ac:dyDescent="0.25">
      <c r="A194" s="4" t="s">
        <v>4590</v>
      </c>
      <c r="B194" s="5" t="s">
        <v>4591</v>
      </c>
      <c r="C194" s="5">
        <v>0.192</v>
      </c>
      <c r="D194" s="6" t="s">
        <v>6208</v>
      </c>
    </row>
    <row r="195" spans="1:4" x14ac:dyDescent="0.25">
      <c r="A195" s="7" t="s">
        <v>4592</v>
      </c>
      <c r="B195" s="8" t="s">
        <v>4593</v>
      </c>
      <c r="C195" s="8">
        <v>0.193</v>
      </c>
      <c r="D195" s="16" t="s">
        <v>6208</v>
      </c>
    </row>
    <row r="196" spans="1:4" x14ac:dyDescent="0.25">
      <c r="A196" s="4" t="s">
        <v>4594</v>
      </c>
      <c r="B196" s="5" t="s">
        <v>4595</v>
      </c>
      <c r="C196" s="5">
        <v>0.19400000000000001</v>
      </c>
      <c r="D196" s="6" t="s">
        <v>6208</v>
      </c>
    </row>
    <row r="197" spans="1:4" x14ac:dyDescent="0.25">
      <c r="A197" s="7" t="s">
        <v>4596</v>
      </c>
      <c r="B197" s="8" t="s">
        <v>4597</v>
      </c>
      <c r="C197" s="8">
        <v>0.19500000000000001</v>
      </c>
      <c r="D197" s="16" t="s">
        <v>6208</v>
      </c>
    </row>
    <row r="198" spans="1:4" x14ac:dyDescent="0.25">
      <c r="A198" s="4" t="s">
        <v>4598</v>
      </c>
      <c r="B198" s="5" t="s">
        <v>4599</v>
      </c>
      <c r="C198" s="5">
        <v>0.19600000000000001</v>
      </c>
      <c r="D198" s="6" t="s">
        <v>6208</v>
      </c>
    </row>
    <row r="199" spans="1:4" x14ac:dyDescent="0.25">
      <c r="A199" s="7" t="s">
        <v>4600</v>
      </c>
      <c r="B199" s="8" t="s">
        <v>4601</v>
      </c>
      <c r="C199" s="8">
        <v>0.19700000000000001</v>
      </c>
      <c r="D199" s="16" t="s">
        <v>6208</v>
      </c>
    </row>
    <row r="200" spans="1:4" x14ac:dyDescent="0.25">
      <c r="A200" s="4" t="s">
        <v>4602</v>
      </c>
      <c r="B200" s="5" t="s">
        <v>4603</v>
      </c>
      <c r="C200" s="5">
        <v>0.19800000000000001</v>
      </c>
      <c r="D200" s="6" t="s">
        <v>6208</v>
      </c>
    </row>
    <row r="201" spans="1:4" x14ac:dyDescent="0.25">
      <c r="A201" s="7" t="s">
        <v>4604</v>
      </c>
      <c r="B201" s="8" t="s">
        <v>4605</v>
      </c>
      <c r="C201" s="8">
        <v>0.19900000000000001</v>
      </c>
      <c r="D201" s="16" t="s">
        <v>6208</v>
      </c>
    </row>
    <row r="202" spans="1:4" x14ac:dyDescent="0.25">
      <c r="A202" s="4" t="s">
        <v>4606</v>
      </c>
      <c r="B202" s="5" t="s">
        <v>4607</v>
      </c>
      <c r="C202" s="5">
        <v>0.2</v>
      </c>
      <c r="D202" s="6" t="s">
        <v>6208</v>
      </c>
    </row>
    <row r="203" spans="1:4" x14ac:dyDescent="0.25">
      <c r="A203" s="7" t="s">
        <v>4608</v>
      </c>
      <c r="B203" s="8" t="s">
        <v>4609</v>
      </c>
      <c r="C203" s="8">
        <v>0.20100000000000001</v>
      </c>
      <c r="D203" s="16" t="s">
        <v>6208</v>
      </c>
    </row>
    <row r="204" spans="1:4" x14ac:dyDescent="0.25">
      <c r="A204" s="4" t="s">
        <v>4610</v>
      </c>
      <c r="B204" s="5" t="s">
        <v>4611</v>
      </c>
      <c r="C204" s="5">
        <v>0.20200000000000001</v>
      </c>
      <c r="D204" s="6" t="s">
        <v>6208</v>
      </c>
    </row>
    <row r="205" spans="1:4" x14ac:dyDescent="0.25">
      <c r="A205" s="7" t="s">
        <v>4612</v>
      </c>
      <c r="B205" s="8" t="s">
        <v>4613</v>
      </c>
      <c r="C205" s="8">
        <v>0.20300000000000001</v>
      </c>
      <c r="D205" s="16" t="s">
        <v>6208</v>
      </c>
    </row>
    <row r="206" spans="1:4" x14ac:dyDescent="0.25">
      <c r="A206" s="4" t="s">
        <v>4614</v>
      </c>
      <c r="B206" s="5" t="s">
        <v>4615</v>
      </c>
      <c r="C206" s="5">
        <v>0.20399999999999999</v>
      </c>
      <c r="D206" s="6" t="s">
        <v>6208</v>
      </c>
    </row>
    <row r="207" spans="1:4" x14ac:dyDescent="0.25">
      <c r="A207" s="7" t="s">
        <v>4616</v>
      </c>
      <c r="B207" s="8" t="s">
        <v>4617</v>
      </c>
      <c r="C207" s="8">
        <v>0.20499999999999999</v>
      </c>
      <c r="D207" s="16" t="s">
        <v>6208</v>
      </c>
    </row>
    <row r="208" spans="1:4" x14ac:dyDescent="0.25">
      <c r="A208" s="4" t="s">
        <v>4618</v>
      </c>
      <c r="B208" s="5" t="s">
        <v>4619</v>
      </c>
      <c r="C208" s="5">
        <v>0.20599999999999999</v>
      </c>
      <c r="D208" s="6" t="s">
        <v>6208</v>
      </c>
    </row>
    <row r="209" spans="1:4" x14ac:dyDescent="0.25">
      <c r="A209" s="7" t="s">
        <v>4620</v>
      </c>
      <c r="B209" s="8" t="s">
        <v>4621</v>
      </c>
      <c r="C209" s="8">
        <v>0.20699999999999999</v>
      </c>
      <c r="D209" s="16" t="s">
        <v>6208</v>
      </c>
    </row>
    <row r="210" spans="1:4" x14ac:dyDescent="0.25">
      <c r="A210" s="4" t="s">
        <v>4622</v>
      </c>
      <c r="B210" s="5" t="s">
        <v>4623</v>
      </c>
      <c r="C210" s="5">
        <v>0.20799999999999999</v>
      </c>
      <c r="D210" s="6" t="s">
        <v>6208</v>
      </c>
    </row>
    <row r="211" spans="1:4" x14ac:dyDescent="0.25">
      <c r="A211" s="7" t="s">
        <v>4624</v>
      </c>
      <c r="B211" s="8" t="s">
        <v>4625</v>
      </c>
      <c r="C211" s="8">
        <v>0.20899999999999999</v>
      </c>
      <c r="D211" s="16" t="s">
        <v>6208</v>
      </c>
    </row>
    <row r="212" spans="1:4" x14ac:dyDescent="0.25">
      <c r="A212" s="4" t="s">
        <v>4626</v>
      </c>
      <c r="B212" s="5" t="s">
        <v>4627</v>
      </c>
      <c r="C212" s="5">
        <v>0.21</v>
      </c>
      <c r="D212" s="6" t="s">
        <v>6208</v>
      </c>
    </row>
    <row r="213" spans="1:4" x14ac:dyDescent="0.25">
      <c r="A213" s="7" t="s">
        <v>4628</v>
      </c>
      <c r="B213" s="8" t="s">
        <v>4629</v>
      </c>
      <c r="C213" s="8">
        <v>0.21099999999999999</v>
      </c>
      <c r="D213" s="16" t="s">
        <v>6208</v>
      </c>
    </row>
    <row r="214" spans="1:4" x14ac:dyDescent="0.25">
      <c r="A214" s="4" t="s">
        <v>4630</v>
      </c>
      <c r="B214" s="5" t="s">
        <v>4631</v>
      </c>
      <c r="C214" s="5">
        <v>0.21199999999999999</v>
      </c>
      <c r="D214" s="6" t="s">
        <v>6208</v>
      </c>
    </row>
    <row r="215" spans="1:4" x14ac:dyDescent="0.25">
      <c r="A215" s="7" t="s">
        <v>4632</v>
      </c>
      <c r="B215" s="8" t="s">
        <v>4633</v>
      </c>
      <c r="C215" s="8">
        <v>0.21299999999999999</v>
      </c>
      <c r="D215" s="16" t="s">
        <v>6208</v>
      </c>
    </row>
    <row r="216" spans="1:4" x14ac:dyDescent="0.25">
      <c r="A216" s="4" t="s">
        <v>4634</v>
      </c>
      <c r="B216" s="5" t="s">
        <v>4635</v>
      </c>
      <c r="C216" s="5">
        <v>0.214</v>
      </c>
      <c r="D216" s="6" t="s">
        <v>6208</v>
      </c>
    </row>
    <row r="217" spans="1:4" x14ac:dyDescent="0.25">
      <c r="A217" s="7" t="s">
        <v>4636</v>
      </c>
      <c r="B217" s="8" t="s">
        <v>4637</v>
      </c>
      <c r="C217" s="8">
        <v>0.215</v>
      </c>
      <c r="D217" s="16" t="s">
        <v>6208</v>
      </c>
    </row>
    <row r="218" spans="1:4" x14ac:dyDescent="0.25">
      <c r="A218" s="4" t="s">
        <v>4638</v>
      </c>
      <c r="B218" s="5" t="s">
        <v>4639</v>
      </c>
      <c r="C218" s="5">
        <v>0.216</v>
      </c>
      <c r="D218" s="6" t="s">
        <v>6208</v>
      </c>
    </row>
    <row r="219" spans="1:4" x14ac:dyDescent="0.25">
      <c r="A219" s="7" t="s">
        <v>4640</v>
      </c>
      <c r="B219" s="8" t="s">
        <v>4641</v>
      </c>
      <c r="C219" s="8">
        <v>0.217</v>
      </c>
      <c r="D219" s="16" t="s">
        <v>6208</v>
      </c>
    </row>
    <row r="220" spans="1:4" x14ac:dyDescent="0.25">
      <c r="A220" s="4" t="s">
        <v>4642</v>
      </c>
      <c r="B220" s="5" t="s">
        <v>4643</v>
      </c>
      <c r="C220" s="5">
        <v>0.218</v>
      </c>
      <c r="D220" s="6" t="s">
        <v>6208</v>
      </c>
    </row>
    <row r="221" spans="1:4" x14ac:dyDescent="0.25">
      <c r="A221" s="7" t="s">
        <v>4644</v>
      </c>
      <c r="B221" s="8" t="s">
        <v>4645</v>
      </c>
      <c r="C221" s="8">
        <v>0.219</v>
      </c>
      <c r="D221" s="16" t="s">
        <v>6208</v>
      </c>
    </row>
    <row r="222" spans="1:4" x14ac:dyDescent="0.25">
      <c r="A222" s="4" t="s">
        <v>4646</v>
      </c>
      <c r="B222" s="5" t="s">
        <v>4647</v>
      </c>
      <c r="C222" s="5">
        <v>0.22</v>
      </c>
      <c r="D222" s="6" t="s">
        <v>6208</v>
      </c>
    </row>
    <row r="223" spans="1:4" x14ac:dyDescent="0.25">
      <c r="A223" s="7" t="s">
        <v>4648</v>
      </c>
      <c r="B223" s="8" t="s">
        <v>4649</v>
      </c>
      <c r="C223" s="8">
        <v>0.221</v>
      </c>
      <c r="D223" s="16" t="s">
        <v>6208</v>
      </c>
    </row>
    <row r="224" spans="1:4" x14ac:dyDescent="0.25">
      <c r="A224" s="4" t="s">
        <v>4650</v>
      </c>
      <c r="B224" s="5" t="s">
        <v>4651</v>
      </c>
      <c r="C224" s="5">
        <v>0.222</v>
      </c>
      <c r="D224" s="6" t="s">
        <v>6208</v>
      </c>
    </row>
    <row r="225" spans="1:4" x14ac:dyDescent="0.25">
      <c r="A225" s="7" t="s">
        <v>4652</v>
      </c>
      <c r="B225" s="8" t="s">
        <v>4653</v>
      </c>
      <c r="C225" s="8">
        <v>0.223</v>
      </c>
      <c r="D225" s="16" t="s">
        <v>6208</v>
      </c>
    </row>
    <row r="226" spans="1:4" x14ac:dyDescent="0.25">
      <c r="A226" s="4" t="s">
        <v>4654</v>
      </c>
      <c r="B226" s="5" t="s">
        <v>4655</v>
      </c>
      <c r="C226" s="5">
        <v>0.224</v>
      </c>
      <c r="D226" s="6" t="s">
        <v>6208</v>
      </c>
    </row>
    <row r="227" spans="1:4" x14ac:dyDescent="0.25">
      <c r="A227" s="7" t="s">
        <v>4656</v>
      </c>
      <c r="B227" s="8" t="s">
        <v>4657</v>
      </c>
      <c r="C227" s="8">
        <v>0.22500000000000001</v>
      </c>
      <c r="D227" s="16" t="s">
        <v>6208</v>
      </c>
    </row>
    <row r="228" spans="1:4" x14ac:dyDescent="0.25">
      <c r="A228" s="4" t="s">
        <v>4658</v>
      </c>
      <c r="B228" s="5" t="s">
        <v>4659</v>
      </c>
      <c r="C228" s="5">
        <v>0.22600000000000001</v>
      </c>
      <c r="D228" s="6" t="s">
        <v>6208</v>
      </c>
    </row>
    <row r="229" spans="1:4" x14ac:dyDescent="0.25">
      <c r="A229" s="7" t="s">
        <v>4660</v>
      </c>
      <c r="B229" s="8" t="s">
        <v>4661</v>
      </c>
      <c r="C229" s="8">
        <v>0.22700000000000001</v>
      </c>
      <c r="D229" s="16" t="s">
        <v>6208</v>
      </c>
    </row>
    <row r="230" spans="1:4" x14ac:dyDescent="0.25">
      <c r="A230" s="4" t="s">
        <v>4662</v>
      </c>
      <c r="B230" s="5" t="s">
        <v>4663</v>
      </c>
      <c r="C230" s="5">
        <v>0.22800000000000001</v>
      </c>
      <c r="D230" s="6" t="s">
        <v>6208</v>
      </c>
    </row>
    <row r="231" spans="1:4" x14ac:dyDescent="0.25">
      <c r="A231" s="7" t="s">
        <v>4664</v>
      </c>
      <c r="B231" s="8" t="s">
        <v>4665</v>
      </c>
      <c r="C231" s="8">
        <v>0.22900000000000001</v>
      </c>
      <c r="D231" s="16" t="s">
        <v>6208</v>
      </c>
    </row>
    <row r="232" spans="1:4" x14ac:dyDescent="0.25">
      <c r="A232" s="4" t="s">
        <v>4666</v>
      </c>
      <c r="B232" s="5" t="s">
        <v>4667</v>
      </c>
      <c r="C232" s="5">
        <v>0.23</v>
      </c>
      <c r="D232" s="6" t="s">
        <v>6208</v>
      </c>
    </row>
    <row r="233" spans="1:4" x14ac:dyDescent="0.25">
      <c r="A233" s="7" t="s">
        <v>4668</v>
      </c>
      <c r="B233" s="8" t="s">
        <v>4669</v>
      </c>
      <c r="C233" s="8">
        <v>0.23100000000000001</v>
      </c>
      <c r="D233" s="16" t="s">
        <v>6208</v>
      </c>
    </row>
    <row r="234" spans="1:4" x14ac:dyDescent="0.25">
      <c r="A234" s="4" t="s">
        <v>4670</v>
      </c>
      <c r="B234" s="5" t="s">
        <v>4671</v>
      </c>
      <c r="C234" s="5">
        <v>0.23200000000000001</v>
      </c>
      <c r="D234" s="6" t="s">
        <v>6208</v>
      </c>
    </row>
    <row r="235" spans="1:4" x14ac:dyDescent="0.25">
      <c r="A235" s="7" t="s">
        <v>4672</v>
      </c>
      <c r="B235" s="8" t="s">
        <v>4673</v>
      </c>
      <c r="C235" s="8">
        <v>0.23300000000000001</v>
      </c>
      <c r="D235" s="16" t="s">
        <v>6208</v>
      </c>
    </row>
    <row r="236" spans="1:4" x14ac:dyDescent="0.25">
      <c r="A236" s="4" t="s">
        <v>4674</v>
      </c>
      <c r="B236" s="5" t="s">
        <v>4675</v>
      </c>
      <c r="C236" s="5">
        <v>0.23400000000000001</v>
      </c>
      <c r="D236" s="6" t="s">
        <v>6208</v>
      </c>
    </row>
    <row r="237" spans="1:4" x14ac:dyDescent="0.25">
      <c r="A237" s="7" t="s">
        <v>4676</v>
      </c>
      <c r="B237" s="8" t="s">
        <v>4677</v>
      </c>
      <c r="C237" s="8">
        <v>0.23499999999999999</v>
      </c>
      <c r="D237" s="16" t="s">
        <v>6208</v>
      </c>
    </row>
    <row r="238" spans="1:4" x14ac:dyDescent="0.25">
      <c r="A238" s="4" t="s">
        <v>4678</v>
      </c>
      <c r="B238" s="5" t="s">
        <v>4679</v>
      </c>
      <c r="C238" s="5">
        <v>0.23599999999999999</v>
      </c>
      <c r="D238" s="6" t="s">
        <v>6208</v>
      </c>
    </row>
    <row r="239" spans="1:4" x14ac:dyDescent="0.25">
      <c r="A239" s="7" t="s">
        <v>4680</v>
      </c>
      <c r="B239" s="8" t="s">
        <v>4681</v>
      </c>
      <c r="C239" s="8">
        <v>0.23699999999999999</v>
      </c>
      <c r="D239" s="16" t="s">
        <v>6208</v>
      </c>
    </row>
    <row r="240" spans="1:4" x14ac:dyDescent="0.25">
      <c r="A240" s="4" t="s">
        <v>4682</v>
      </c>
      <c r="B240" s="5" t="s">
        <v>4683</v>
      </c>
      <c r="C240" s="5">
        <v>0.23799999999999999</v>
      </c>
      <c r="D240" s="6" t="s">
        <v>6208</v>
      </c>
    </row>
    <row r="241" spans="1:4" x14ac:dyDescent="0.25">
      <c r="A241" s="7" t="s">
        <v>4684</v>
      </c>
      <c r="B241" s="8" t="s">
        <v>4685</v>
      </c>
      <c r="C241" s="8">
        <v>0.23899999999999999</v>
      </c>
      <c r="D241" s="16" t="s">
        <v>6208</v>
      </c>
    </row>
    <row r="242" spans="1:4" x14ac:dyDescent="0.25">
      <c r="A242" s="4" t="s">
        <v>4686</v>
      </c>
      <c r="B242" s="5" t="s">
        <v>4687</v>
      </c>
      <c r="C242" s="5">
        <v>0.24</v>
      </c>
      <c r="D242" s="6" t="s">
        <v>6208</v>
      </c>
    </row>
    <row r="243" spans="1:4" x14ac:dyDescent="0.25">
      <c r="A243" s="7" t="s">
        <v>4688</v>
      </c>
      <c r="B243" s="8" t="s">
        <v>4689</v>
      </c>
      <c r="C243" s="8">
        <v>0.24099999999999999</v>
      </c>
      <c r="D243" s="16" t="s">
        <v>6208</v>
      </c>
    </row>
    <row r="244" spans="1:4" x14ac:dyDescent="0.25">
      <c r="A244" s="4" t="s">
        <v>4690</v>
      </c>
      <c r="B244" s="5" t="s">
        <v>4691</v>
      </c>
      <c r="C244" s="5">
        <v>0.24199999999999999</v>
      </c>
      <c r="D244" s="6" t="s">
        <v>6208</v>
      </c>
    </row>
    <row r="245" spans="1:4" x14ac:dyDescent="0.25">
      <c r="A245" s="7" t="s">
        <v>4692</v>
      </c>
      <c r="B245" s="8" t="s">
        <v>4693</v>
      </c>
      <c r="C245" s="8">
        <v>0.24299999999999999</v>
      </c>
      <c r="D245" s="16" t="s">
        <v>6208</v>
      </c>
    </row>
    <row r="246" spans="1:4" x14ac:dyDescent="0.25">
      <c r="A246" s="4" t="s">
        <v>4694</v>
      </c>
      <c r="B246" s="5" t="s">
        <v>4695</v>
      </c>
      <c r="C246" s="5">
        <v>0.24399999999999999</v>
      </c>
      <c r="D246" s="6" t="s">
        <v>6208</v>
      </c>
    </row>
    <row r="247" spans="1:4" x14ac:dyDescent="0.25">
      <c r="A247" s="7" t="s">
        <v>4696</v>
      </c>
      <c r="B247" s="8" t="s">
        <v>4697</v>
      </c>
      <c r="C247" s="8">
        <v>0.245</v>
      </c>
      <c r="D247" s="16" t="s">
        <v>6208</v>
      </c>
    </row>
    <row r="248" spans="1:4" x14ac:dyDescent="0.25">
      <c r="A248" s="4" t="s">
        <v>4698</v>
      </c>
      <c r="B248" s="5" t="s">
        <v>4699</v>
      </c>
      <c r="C248" s="5">
        <v>0.246</v>
      </c>
      <c r="D248" s="6" t="s">
        <v>6208</v>
      </c>
    </row>
    <row r="249" spans="1:4" x14ac:dyDescent="0.25">
      <c r="A249" s="7" t="s">
        <v>4700</v>
      </c>
      <c r="B249" s="8" t="s">
        <v>4701</v>
      </c>
      <c r="C249" s="8">
        <v>0.247</v>
      </c>
      <c r="D249" s="16" t="s">
        <v>6208</v>
      </c>
    </row>
    <row r="250" spans="1:4" x14ac:dyDescent="0.25">
      <c r="A250" s="4" t="s">
        <v>4702</v>
      </c>
      <c r="B250" s="5" t="s">
        <v>4703</v>
      </c>
      <c r="C250" s="5">
        <v>0.248</v>
      </c>
      <c r="D250" s="6" t="s">
        <v>6208</v>
      </c>
    </row>
    <row r="251" spans="1:4" x14ac:dyDescent="0.25">
      <c r="A251" s="7" t="s">
        <v>4704</v>
      </c>
      <c r="B251" s="8" t="s">
        <v>4705</v>
      </c>
      <c r="C251" s="8">
        <v>0.249</v>
      </c>
      <c r="D251" s="16" t="s">
        <v>6208</v>
      </c>
    </row>
    <row r="252" spans="1:4" x14ac:dyDescent="0.25">
      <c r="A252" s="4" t="s">
        <v>4706</v>
      </c>
      <c r="B252" s="5" t="s">
        <v>4707</v>
      </c>
      <c r="C252" s="5">
        <v>0.25</v>
      </c>
      <c r="D252" s="6" t="s">
        <v>6208</v>
      </c>
    </row>
    <row r="253" spans="1:4" x14ac:dyDescent="0.25">
      <c r="A253" s="7" t="s">
        <v>4708</v>
      </c>
      <c r="B253" s="8" t="s">
        <v>4709</v>
      </c>
      <c r="C253" s="8">
        <v>0.251</v>
      </c>
      <c r="D253" s="16" t="s">
        <v>6208</v>
      </c>
    </row>
    <row r="254" spans="1:4" x14ac:dyDescent="0.25">
      <c r="A254" s="4" t="s">
        <v>4710</v>
      </c>
      <c r="B254" s="5" t="s">
        <v>4711</v>
      </c>
      <c r="C254" s="5">
        <v>0.252</v>
      </c>
      <c r="D254" s="6" t="s">
        <v>6208</v>
      </c>
    </row>
    <row r="255" spans="1:4" x14ac:dyDescent="0.25">
      <c r="A255" s="7" t="s">
        <v>4712</v>
      </c>
      <c r="B255" s="8" t="s">
        <v>4713</v>
      </c>
      <c r="C255" s="8">
        <v>0.253</v>
      </c>
      <c r="D255" s="16" t="s">
        <v>6208</v>
      </c>
    </row>
    <row r="256" spans="1:4" x14ac:dyDescent="0.25">
      <c r="A256" s="4" t="s">
        <v>4714</v>
      </c>
      <c r="B256" s="5" t="s">
        <v>4715</v>
      </c>
      <c r="C256" s="5">
        <v>0.254</v>
      </c>
      <c r="D256" s="6" t="s">
        <v>6208</v>
      </c>
    </row>
    <row r="257" spans="1:4" x14ac:dyDescent="0.25">
      <c r="A257" s="7" t="s">
        <v>4716</v>
      </c>
      <c r="B257" s="8" t="s">
        <v>4717</v>
      </c>
      <c r="C257" s="8">
        <v>0.255</v>
      </c>
      <c r="D257" s="16" t="s">
        <v>6208</v>
      </c>
    </row>
    <row r="258" spans="1:4" x14ac:dyDescent="0.25">
      <c r="A258" s="4" t="s">
        <v>4718</v>
      </c>
      <c r="B258" s="5" t="s">
        <v>4719</v>
      </c>
      <c r="C258" s="5">
        <v>0.25600000000000001</v>
      </c>
      <c r="D258" s="6" t="s">
        <v>6208</v>
      </c>
    </row>
    <row r="259" spans="1:4" x14ac:dyDescent="0.25">
      <c r="A259" s="7" t="s">
        <v>4720</v>
      </c>
      <c r="B259" s="8" t="s">
        <v>4721</v>
      </c>
      <c r="C259" s="8">
        <v>0.25700000000000001</v>
      </c>
      <c r="D259" s="16" t="s">
        <v>6208</v>
      </c>
    </row>
    <row r="260" spans="1:4" x14ac:dyDescent="0.25">
      <c r="A260" s="4" t="s">
        <v>4722</v>
      </c>
      <c r="B260" s="5" t="s">
        <v>4723</v>
      </c>
      <c r="C260" s="5">
        <v>0.25800000000000001</v>
      </c>
      <c r="D260" s="6" t="s">
        <v>6208</v>
      </c>
    </row>
    <row r="261" spans="1:4" x14ac:dyDescent="0.25">
      <c r="A261" s="7" t="s">
        <v>4724</v>
      </c>
      <c r="B261" s="8" t="s">
        <v>4725</v>
      </c>
      <c r="C261" s="8">
        <v>0.25900000000000001</v>
      </c>
      <c r="D261" s="16" t="s">
        <v>6208</v>
      </c>
    </row>
    <row r="262" spans="1:4" x14ac:dyDescent="0.25">
      <c r="A262" s="4" t="s">
        <v>4726</v>
      </c>
      <c r="B262" s="5" t="s">
        <v>4727</v>
      </c>
      <c r="C262" s="5">
        <v>0.26</v>
      </c>
      <c r="D262" s="6" t="s">
        <v>6208</v>
      </c>
    </row>
    <row r="263" spans="1:4" x14ac:dyDescent="0.25">
      <c r="A263" s="7" t="s">
        <v>4728</v>
      </c>
      <c r="B263" s="8" t="s">
        <v>4729</v>
      </c>
      <c r="C263" s="8">
        <v>0.26100000000000001</v>
      </c>
      <c r="D263" s="16" t="s">
        <v>6208</v>
      </c>
    </row>
    <row r="264" spans="1:4" x14ac:dyDescent="0.25">
      <c r="A264" s="4" t="s">
        <v>4730</v>
      </c>
      <c r="B264" s="5" t="s">
        <v>4731</v>
      </c>
      <c r="C264" s="5">
        <v>0.26200000000000001</v>
      </c>
      <c r="D264" s="6" t="s">
        <v>6208</v>
      </c>
    </row>
    <row r="265" spans="1:4" x14ac:dyDescent="0.25">
      <c r="A265" s="7" t="s">
        <v>4732</v>
      </c>
      <c r="B265" s="8" t="s">
        <v>4733</v>
      </c>
      <c r="C265" s="8">
        <v>0.26300000000000001</v>
      </c>
      <c r="D265" s="16" t="s">
        <v>6208</v>
      </c>
    </row>
    <row r="266" spans="1:4" x14ac:dyDescent="0.25">
      <c r="A266" s="4" t="s">
        <v>4734</v>
      </c>
      <c r="B266" s="5" t="s">
        <v>4735</v>
      </c>
      <c r="C266" s="5">
        <v>0.26400000000000001</v>
      </c>
      <c r="D266" s="6" t="s">
        <v>6208</v>
      </c>
    </row>
    <row r="267" spans="1:4" x14ac:dyDescent="0.25">
      <c r="A267" s="7" t="s">
        <v>4736</v>
      </c>
      <c r="B267" s="8" t="s">
        <v>4737</v>
      </c>
      <c r="C267" s="8">
        <v>0.26500000000000001</v>
      </c>
      <c r="D267" s="16" t="s">
        <v>6208</v>
      </c>
    </row>
    <row r="268" spans="1:4" x14ac:dyDescent="0.25">
      <c r="A268" s="4" t="s">
        <v>4738</v>
      </c>
      <c r="B268" s="5" t="s">
        <v>4739</v>
      </c>
      <c r="C268" s="5">
        <v>0.26600000000000001</v>
      </c>
      <c r="D268" s="6" t="s">
        <v>6208</v>
      </c>
    </row>
    <row r="269" spans="1:4" x14ac:dyDescent="0.25">
      <c r="A269" s="7" t="s">
        <v>4740</v>
      </c>
      <c r="B269" s="8" t="s">
        <v>4741</v>
      </c>
      <c r="C269" s="8">
        <v>0.26700000000000002</v>
      </c>
      <c r="D269" s="16" t="s">
        <v>6208</v>
      </c>
    </row>
    <row r="270" spans="1:4" x14ac:dyDescent="0.25">
      <c r="A270" s="4" t="s">
        <v>4742</v>
      </c>
      <c r="B270" s="5" t="s">
        <v>4743</v>
      </c>
      <c r="C270" s="5">
        <v>0.26800000000000002</v>
      </c>
      <c r="D270" s="6" t="s">
        <v>6208</v>
      </c>
    </row>
    <row r="271" spans="1:4" x14ac:dyDescent="0.25">
      <c r="A271" s="7" t="s">
        <v>4744</v>
      </c>
      <c r="B271" s="8" t="s">
        <v>4745</v>
      </c>
      <c r="C271" s="8">
        <v>0.26900000000000002</v>
      </c>
      <c r="D271" s="16" t="s">
        <v>6208</v>
      </c>
    </row>
    <row r="272" spans="1:4" x14ac:dyDescent="0.25">
      <c r="A272" s="4" t="s">
        <v>4746</v>
      </c>
      <c r="B272" s="5" t="s">
        <v>4747</v>
      </c>
      <c r="C272" s="5">
        <v>0.27</v>
      </c>
      <c r="D272" s="6" t="s">
        <v>6208</v>
      </c>
    </row>
    <row r="273" spans="1:4" x14ac:dyDescent="0.25">
      <c r="A273" s="7" t="s">
        <v>4748</v>
      </c>
      <c r="B273" s="8" t="s">
        <v>4749</v>
      </c>
      <c r="C273" s="8">
        <v>0.27100000000000002</v>
      </c>
      <c r="D273" s="16" t="s">
        <v>6208</v>
      </c>
    </row>
    <row r="274" spans="1:4" x14ac:dyDescent="0.25">
      <c r="A274" s="4" t="s">
        <v>4750</v>
      </c>
      <c r="B274" s="5" t="s">
        <v>4751</v>
      </c>
      <c r="C274" s="5">
        <v>0.27200000000000002</v>
      </c>
      <c r="D274" s="6" t="s">
        <v>6208</v>
      </c>
    </row>
    <row r="275" spans="1:4" x14ac:dyDescent="0.25">
      <c r="A275" s="7" t="s">
        <v>4752</v>
      </c>
      <c r="B275" s="8" t="s">
        <v>4753</v>
      </c>
      <c r="C275" s="8">
        <v>0.27300000000000002</v>
      </c>
      <c r="D275" s="16" t="s">
        <v>6208</v>
      </c>
    </row>
    <row r="276" spans="1:4" x14ac:dyDescent="0.25">
      <c r="A276" s="4" t="s">
        <v>4754</v>
      </c>
      <c r="B276" s="5" t="s">
        <v>4755</v>
      </c>
      <c r="C276" s="5">
        <v>0.27400000000000002</v>
      </c>
      <c r="D276" s="6" t="s">
        <v>6208</v>
      </c>
    </row>
    <row r="277" spans="1:4" x14ac:dyDescent="0.25">
      <c r="A277" s="7" t="s">
        <v>4756</v>
      </c>
      <c r="B277" s="8" t="s">
        <v>4757</v>
      </c>
      <c r="C277" s="8">
        <v>0.27500000000000002</v>
      </c>
      <c r="D277" s="16" t="s">
        <v>6208</v>
      </c>
    </row>
    <row r="278" spans="1:4" x14ac:dyDescent="0.25">
      <c r="A278" s="4" t="s">
        <v>4758</v>
      </c>
      <c r="B278" s="5" t="s">
        <v>4759</v>
      </c>
      <c r="C278" s="5">
        <v>0.27600000000000002</v>
      </c>
      <c r="D278" s="6" t="s">
        <v>6208</v>
      </c>
    </row>
    <row r="279" spans="1:4" x14ac:dyDescent="0.25">
      <c r="A279" s="7" t="s">
        <v>4760</v>
      </c>
      <c r="B279" s="8" t="s">
        <v>4761</v>
      </c>
      <c r="C279" s="8">
        <v>0.27700000000000002</v>
      </c>
      <c r="D279" s="16" t="s">
        <v>6208</v>
      </c>
    </row>
    <row r="280" spans="1:4" x14ac:dyDescent="0.25">
      <c r="A280" s="4" t="s">
        <v>4762</v>
      </c>
      <c r="B280" s="5" t="s">
        <v>4763</v>
      </c>
      <c r="C280" s="5">
        <v>0.27800000000000002</v>
      </c>
      <c r="D280" s="6" t="s">
        <v>6208</v>
      </c>
    </row>
    <row r="281" spans="1:4" x14ac:dyDescent="0.25">
      <c r="A281" s="7" t="s">
        <v>4764</v>
      </c>
      <c r="B281" s="8" t="s">
        <v>4765</v>
      </c>
      <c r="C281" s="8">
        <v>0.27900000000000003</v>
      </c>
      <c r="D281" s="16" t="s">
        <v>6208</v>
      </c>
    </row>
    <row r="282" spans="1:4" x14ac:dyDescent="0.25">
      <c r="A282" s="4" t="s">
        <v>4766</v>
      </c>
      <c r="B282" s="5" t="s">
        <v>4767</v>
      </c>
      <c r="C282" s="5">
        <v>0.28000000000000003</v>
      </c>
      <c r="D282" s="6" t="s">
        <v>6208</v>
      </c>
    </row>
    <row r="283" spans="1:4" x14ac:dyDescent="0.25">
      <c r="A283" s="7" t="s">
        <v>4768</v>
      </c>
      <c r="B283" s="8" t="s">
        <v>4769</v>
      </c>
      <c r="C283" s="8">
        <v>0.28100000000000003</v>
      </c>
      <c r="D283" s="16" t="s">
        <v>6208</v>
      </c>
    </row>
    <row r="284" spans="1:4" x14ac:dyDescent="0.25">
      <c r="A284" s="4" t="s">
        <v>4770</v>
      </c>
      <c r="B284" s="5" t="s">
        <v>4771</v>
      </c>
      <c r="C284" s="5">
        <v>0.28199999999999997</v>
      </c>
      <c r="D284" s="6" t="s">
        <v>6208</v>
      </c>
    </row>
    <row r="285" spans="1:4" x14ac:dyDescent="0.25">
      <c r="A285" s="7" t="s">
        <v>4772</v>
      </c>
      <c r="B285" s="8" t="s">
        <v>4773</v>
      </c>
      <c r="C285" s="8">
        <v>0.28299999999999997</v>
      </c>
      <c r="D285" s="16" t="s">
        <v>6208</v>
      </c>
    </row>
    <row r="286" spans="1:4" x14ac:dyDescent="0.25">
      <c r="A286" s="4" t="s">
        <v>4774</v>
      </c>
      <c r="B286" s="5" t="s">
        <v>4775</v>
      </c>
      <c r="C286" s="5">
        <v>0.28399999999999997</v>
      </c>
      <c r="D286" s="6" t="s">
        <v>6208</v>
      </c>
    </row>
    <row r="287" spans="1:4" x14ac:dyDescent="0.25">
      <c r="A287" s="7" t="s">
        <v>4776</v>
      </c>
      <c r="B287" s="8" t="s">
        <v>4777</v>
      </c>
      <c r="C287" s="8">
        <v>0.28499999999999998</v>
      </c>
      <c r="D287" s="16" t="s">
        <v>6208</v>
      </c>
    </row>
    <row r="288" spans="1:4" x14ac:dyDescent="0.25">
      <c r="A288" s="4" t="s">
        <v>4778</v>
      </c>
      <c r="B288" s="5" t="s">
        <v>4779</v>
      </c>
      <c r="C288" s="5">
        <v>0.28599999999999998</v>
      </c>
      <c r="D288" s="6" t="s">
        <v>6208</v>
      </c>
    </row>
    <row r="289" spans="1:4" x14ac:dyDescent="0.25">
      <c r="A289" s="7" t="s">
        <v>4780</v>
      </c>
      <c r="B289" s="8" t="s">
        <v>4781</v>
      </c>
      <c r="C289" s="8">
        <v>0.28699999999999998</v>
      </c>
      <c r="D289" s="16" t="s">
        <v>6208</v>
      </c>
    </row>
    <row r="290" spans="1:4" x14ac:dyDescent="0.25">
      <c r="A290" s="4" t="s">
        <v>4782</v>
      </c>
      <c r="B290" s="5" t="s">
        <v>4783</v>
      </c>
      <c r="C290" s="5">
        <v>0.28799999999999998</v>
      </c>
      <c r="D290" s="6" t="s">
        <v>6208</v>
      </c>
    </row>
    <row r="291" spans="1:4" x14ac:dyDescent="0.25">
      <c r="A291" s="7" t="s">
        <v>4784</v>
      </c>
      <c r="B291" s="8" t="s">
        <v>4785</v>
      </c>
      <c r="C291" s="8">
        <v>0.28899999999999998</v>
      </c>
      <c r="D291" s="16" t="s">
        <v>6208</v>
      </c>
    </row>
    <row r="292" spans="1:4" x14ac:dyDescent="0.25">
      <c r="A292" s="4" t="s">
        <v>4786</v>
      </c>
      <c r="B292" s="5" t="s">
        <v>4787</v>
      </c>
      <c r="C292" s="5">
        <v>0.28999999999999998</v>
      </c>
      <c r="D292" s="6" t="s">
        <v>6208</v>
      </c>
    </row>
    <row r="293" spans="1:4" x14ac:dyDescent="0.25">
      <c r="A293" s="7" t="s">
        <v>4788</v>
      </c>
      <c r="B293" s="8" t="s">
        <v>4789</v>
      </c>
      <c r="C293" s="8">
        <v>0.29099999999999998</v>
      </c>
      <c r="D293" s="16" t="s">
        <v>6208</v>
      </c>
    </row>
    <row r="294" spans="1:4" x14ac:dyDescent="0.25">
      <c r="A294" s="4" t="s">
        <v>4790</v>
      </c>
      <c r="B294" s="5" t="s">
        <v>4791</v>
      </c>
      <c r="C294" s="5">
        <v>0.29199999999999998</v>
      </c>
      <c r="D294" s="6" t="s">
        <v>6208</v>
      </c>
    </row>
    <row r="295" spans="1:4" x14ac:dyDescent="0.25">
      <c r="A295" s="7" t="s">
        <v>4792</v>
      </c>
      <c r="B295" s="8" t="s">
        <v>4793</v>
      </c>
      <c r="C295" s="8">
        <v>0.29299999999999998</v>
      </c>
      <c r="D295" s="16" t="s">
        <v>6208</v>
      </c>
    </row>
    <row r="296" spans="1:4" x14ac:dyDescent="0.25">
      <c r="A296" s="4" t="s">
        <v>4794</v>
      </c>
      <c r="B296" s="5" t="s">
        <v>4795</v>
      </c>
      <c r="C296" s="5">
        <v>0.29399999999999998</v>
      </c>
      <c r="D296" s="6" t="s">
        <v>6208</v>
      </c>
    </row>
    <row r="297" spans="1:4" x14ac:dyDescent="0.25">
      <c r="A297" s="7" t="s">
        <v>4796</v>
      </c>
      <c r="B297" s="8" t="s">
        <v>4797</v>
      </c>
      <c r="C297" s="8">
        <v>0.29499999999999998</v>
      </c>
      <c r="D297" s="16" t="s">
        <v>6208</v>
      </c>
    </row>
    <row r="298" spans="1:4" x14ac:dyDescent="0.25">
      <c r="A298" s="4" t="s">
        <v>4798</v>
      </c>
      <c r="B298" s="5" t="s">
        <v>4799</v>
      </c>
      <c r="C298" s="5">
        <v>0.29599999999999999</v>
      </c>
      <c r="D298" s="6" t="s">
        <v>6208</v>
      </c>
    </row>
    <row r="299" spans="1:4" x14ac:dyDescent="0.25">
      <c r="A299" s="7" t="s">
        <v>4800</v>
      </c>
      <c r="B299" s="8" t="s">
        <v>4801</v>
      </c>
      <c r="C299" s="8">
        <v>0.29699999999999999</v>
      </c>
      <c r="D299" s="16" t="s">
        <v>6208</v>
      </c>
    </row>
    <row r="300" spans="1:4" x14ac:dyDescent="0.25">
      <c r="A300" s="4" t="s">
        <v>4802</v>
      </c>
      <c r="B300" s="5" t="s">
        <v>4803</v>
      </c>
      <c r="C300" s="5">
        <v>0.29799999999999999</v>
      </c>
      <c r="D300" s="6" t="s">
        <v>6208</v>
      </c>
    </row>
    <row r="301" spans="1:4" x14ac:dyDescent="0.25">
      <c r="A301" s="7" t="s">
        <v>4804</v>
      </c>
      <c r="B301" s="8" t="s">
        <v>4805</v>
      </c>
      <c r="C301" s="8">
        <v>0.29899999999999999</v>
      </c>
      <c r="D301" s="16" t="s">
        <v>6208</v>
      </c>
    </row>
    <row r="302" spans="1:4" x14ac:dyDescent="0.25">
      <c r="A302" s="4" t="s">
        <v>4806</v>
      </c>
      <c r="B302" s="5" t="s">
        <v>4807</v>
      </c>
      <c r="C302" s="5">
        <v>0.3</v>
      </c>
      <c r="D302" s="6" t="s">
        <v>6208</v>
      </c>
    </row>
    <row r="303" spans="1:4" x14ac:dyDescent="0.25">
      <c r="A303" s="7" t="s">
        <v>4808</v>
      </c>
      <c r="B303" s="8" t="s">
        <v>4809</v>
      </c>
      <c r="C303" s="8">
        <v>0.30099999999999999</v>
      </c>
      <c r="D303" s="16" t="s">
        <v>6208</v>
      </c>
    </row>
    <row r="304" spans="1:4" x14ac:dyDescent="0.25">
      <c r="A304" s="4" t="s">
        <v>4810</v>
      </c>
      <c r="B304" s="5" t="s">
        <v>4811</v>
      </c>
      <c r="C304" s="5">
        <v>0.30199999999999999</v>
      </c>
      <c r="D304" s="6" t="s">
        <v>6208</v>
      </c>
    </row>
    <row r="305" spans="1:4" x14ac:dyDescent="0.25">
      <c r="A305" s="7" t="s">
        <v>4812</v>
      </c>
      <c r="B305" s="8" t="s">
        <v>4813</v>
      </c>
      <c r="C305" s="8">
        <v>0.30299999999999999</v>
      </c>
      <c r="D305" s="16" t="s">
        <v>6208</v>
      </c>
    </row>
    <row r="306" spans="1:4" x14ac:dyDescent="0.25">
      <c r="A306" s="4" t="s">
        <v>4814</v>
      </c>
      <c r="B306" s="5" t="s">
        <v>4815</v>
      </c>
      <c r="C306" s="5">
        <v>0.30399999999999999</v>
      </c>
      <c r="D306" s="6" t="s">
        <v>6208</v>
      </c>
    </row>
    <row r="307" spans="1:4" x14ac:dyDescent="0.25">
      <c r="A307" s="7" t="s">
        <v>4816</v>
      </c>
      <c r="B307" s="8" t="s">
        <v>4817</v>
      </c>
      <c r="C307" s="8">
        <v>0.30499999999999999</v>
      </c>
      <c r="D307" s="16" t="s">
        <v>6208</v>
      </c>
    </row>
    <row r="308" spans="1:4" x14ac:dyDescent="0.25">
      <c r="A308" s="4" t="s">
        <v>4818</v>
      </c>
      <c r="B308" s="5" t="s">
        <v>4819</v>
      </c>
      <c r="C308" s="5">
        <v>0.30599999999999999</v>
      </c>
      <c r="D308" s="6" t="s">
        <v>6208</v>
      </c>
    </row>
    <row r="309" spans="1:4" x14ac:dyDescent="0.25">
      <c r="A309" s="7" t="s">
        <v>4820</v>
      </c>
      <c r="B309" s="8" t="s">
        <v>4821</v>
      </c>
      <c r="C309" s="8">
        <v>0.307</v>
      </c>
      <c r="D309" s="16" t="s">
        <v>6208</v>
      </c>
    </row>
    <row r="310" spans="1:4" x14ac:dyDescent="0.25">
      <c r="A310" s="4" t="s">
        <v>4822</v>
      </c>
      <c r="B310" s="5" t="s">
        <v>4823</v>
      </c>
      <c r="C310" s="5">
        <v>0.308</v>
      </c>
      <c r="D310" s="6" t="s">
        <v>6208</v>
      </c>
    </row>
    <row r="311" spans="1:4" x14ac:dyDescent="0.25">
      <c r="A311" s="7" t="s">
        <v>4824</v>
      </c>
      <c r="B311" s="8" t="s">
        <v>4825</v>
      </c>
      <c r="C311" s="8">
        <v>0.309</v>
      </c>
      <c r="D311" s="16" t="s">
        <v>6208</v>
      </c>
    </row>
    <row r="312" spans="1:4" x14ac:dyDescent="0.25">
      <c r="A312" s="4" t="s">
        <v>4826</v>
      </c>
      <c r="B312" s="5" t="s">
        <v>4827</v>
      </c>
      <c r="C312" s="5">
        <v>0.31</v>
      </c>
      <c r="D312" s="6" t="s">
        <v>6208</v>
      </c>
    </row>
    <row r="313" spans="1:4" x14ac:dyDescent="0.25">
      <c r="A313" s="7" t="s">
        <v>4828</v>
      </c>
      <c r="B313" s="8" t="s">
        <v>4829</v>
      </c>
      <c r="C313" s="8">
        <v>0.311</v>
      </c>
      <c r="D313" s="16" t="s">
        <v>6208</v>
      </c>
    </row>
    <row r="314" spans="1:4" x14ac:dyDescent="0.25">
      <c r="A314" s="4" t="s">
        <v>4830</v>
      </c>
      <c r="B314" s="5" t="s">
        <v>4831</v>
      </c>
      <c r="C314" s="5">
        <v>0.312</v>
      </c>
      <c r="D314" s="6" t="s">
        <v>6208</v>
      </c>
    </row>
    <row r="315" spans="1:4" x14ac:dyDescent="0.25">
      <c r="A315" s="7" t="s">
        <v>4832</v>
      </c>
      <c r="B315" s="8" t="s">
        <v>4833</v>
      </c>
      <c r="C315" s="8">
        <v>0.313</v>
      </c>
      <c r="D315" s="16" t="s">
        <v>6208</v>
      </c>
    </row>
    <row r="316" spans="1:4" x14ac:dyDescent="0.25">
      <c r="A316" s="4" t="s">
        <v>4834</v>
      </c>
      <c r="B316" s="5" t="s">
        <v>4835</v>
      </c>
      <c r="C316" s="5">
        <v>0.314</v>
      </c>
      <c r="D316" s="6" t="s">
        <v>6208</v>
      </c>
    </row>
    <row r="317" spans="1:4" x14ac:dyDescent="0.25">
      <c r="A317" s="7" t="s">
        <v>4836</v>
      </c>
      <c r="B317" s="8" t="s">
        <v>4837</v>
      </c>
      <c r="C317" s="8">
        <v>0.315</v>
      </c>
      <c r="D317" s="16" t="s">
        <v>6208</v>
      </c>
    </row>
    <row r="318" spans="1:4" x14ac:dyDescent="0.25">
      <c r="A318" s="4" t="s">
        <v>4838</v>
      </c>
      <c r="B318" s="5" t="s">
        <v>4839</v>
      </c>
      <c r="C318" s="5">
        <v>0.316</v>
      </c>
      <c r="D318" s="6" t="s">
        <v>6208</v>
      </c>
    </row>
    <row r="319" spans="1:4" x14ac:dyDescent="0.25">
      <c r="A319" s="7" t="s">
        <v>4840</v>
      </c>
      <c r="B319" s="8" t="s">
        <v>4841</v>
      </c>
      <c r="C319" s="8">
        <v>0.317</v>
      </c>
      <c r="D319" s="16" t="s">
        <v>6208</v>
      </c>
    </row>
    <row r="320" spans="1:4" x14ac:dyDescent="0.25">
      <c r="A320" s="4" t="s">
        <v>4842</v>
      </c>
      <c r="B320" s="5" t="s">
        <v>4843</v>
      </c>
      <c r="C320" s="5">
        <v>0.318</v>
      </c>
      <c r="D320" s="6" t="s">
        <v>6208</v>
      </c>
    </row>
    <row r="321" spans="1:4" x14ac:dyDescent="0.25">
      <c r="A321" s="7" t="s">
        <v>4844</v>
      </c>
      <c r="B321" s="8" t="s">
        <v>4845</v>
      </c>
      <c r="C321" s="8">
        <v>0.31900000000000001</v>
      </c>
      <c r="D321" s="16" t="s">
        <v>6208</v>
      </c>
    </row>
    <row r="322" spans="1:4" x14ac:dyDescent="0.25">
      <c r="A322" s="4" t="s">
        <v>4846</v>
      </c>
      <c r="B322" s="5" t="s">
        <v>4847</v>
      </c>
      <c r="C322" s="5">
        <v>0.32</v>
      </c>
      <c r="D322" s="6" t="s">
        <v>6208</v>
      </c>
    </row>
    <row r="323" spans="1:4" x14ac:dyDescent="0.25">
      <c r="A323" s="7" t="s">
        <v>4848</v>
      </c>
      <c r="B323" s="8" t="s">
        <v>4849</v>
      </c>
      <c r="C323" s="8">
        <v>0.32100000000000001</v>
      </c>
      <c r="D323" s="16" t="s">
        <v>6208</v>
      </c>
    </row>
    <row r="324" spans="1:4" x14ac:dyDescent="0.25">
      <c r="A324" s="4" t="s">
        <v>4850</v>
      </c>
      <c r="B324" s="5" t="s">
        <v>4851</v>
      </c>
      <c r="C324" s="5">
        <v>0.32200000000000001</v>
      </c>
      <c r="D324" s="6" t="s">
        <v>6208</v>
      </c>
    </row>
    <row r="325" spans="1:4" x14ac:dyDescent="0.25">
      <c r="A325" s="7" t="s">
        <v>4852</v>
      </c>
      <c r="B325" s="8" t="s">
        <v>4853</v>
      </c>
      <c r="C325" s="8">
        <v>0.32300000000000001</v>
      </c>
      <c r="D325" s="16" t="s">
        <v>6208</v>
      </c>
    </row>
    <row r="326" spans="1:4" x14ac:dyDescent="0.25">
      <c r="A326" s="4" t="s">
        <v>4854</v>
      </c>
      <c r="B326" s="5" t="s">
        <v>4855</v>
      </c>
      <c r="C326" s="5">
        <v>0.32400000000000001</v>
      </c>
      <c r="D326" s="6" t="s">
        <v>6208</v>
      </c>
    </row>
    <row r="327" spans="1:4" x14ac:dyDescent="0.25">
      <c r="A327" s="7" t="s">
        <v>4856</v>
      </c>
      <c r="B327" s="8" t="s">
        <v>4857</v>
      </c>
      <c r="C327" s="8">
        <v>0.32500000000000001</v>
      </c>
      <c r="D327" s="16" t="s">
        <v>6208</v>
      </c>
    </row>
    <row r="328" spans="1:4" x14ac:dyDescent="0.25">
      <c r="A328" s="4" t="s">
        <v>4858</v>
      </c>
      <c r="B328" s="5" t="s">
        <v>4859</v>
      </c>
      <c r="C328" s="5">
        <v>0.32600000000000001</v>
      </c>
      <c r="D328" s="6" t="s">
        <v>6208</v>
      </c>
    </row>
    <row r="329" spans="1:4" x14ac:dyDescent="0.25">
      <c r="A329" s="7" t="s">
        <v>4860</v>
      </c>
      <c r="B329" s="8" t="s">
        <v>4861</v>
      </c>
      <c r="C329" s="8">
        <v>0.32700000000000001</v>
      </c>
      <c r="D329" s="16" t="s">
        <v>6208</v>
      </c>
    </row>
    <row r="330" spans="1:4" x14ac:dyDescent="0.25">
      <c r="A330" s="4" t="s">
        <v>4862</v>
      </c>
      <c r="B330" s="5" t="s">
        <v>4863</v>
      </c>
      <c r="C330" s="5">
        <v>0.32800000000000001</v>
      </c>
      <c r="D330" s="6" t="s">
        <v>6208</v>
      </c>
    </row>
    <row r="331" spans="1:4" x14ac:dyDescent="0.25">
      <c r="A331" s="7" t="s">
        <v>4864</v>
      </c>
      <c r="B331" s="8" t="s">
        <v>4865</v>
      </c>
      <c r="C331" s="8">
        <v>0.32900000000000001</v>
      </c>
      <c r="D331" s="16" t="s">
        <v>6208</v>
      </c>
    </row>
    <row r="332" spans="1:4" x14ac:dyDescent="0.25">
      <c r="A332" s="4" t="s">
        <v>4866</v>
      </c>
      <c r="B332" s="5" t="s">
        <v>4867</v>
      </c>
      <c r="C332" s="5">
        <v>0.33</v>
      </c>
      <c r="D332" s="6" t="s">
        <v>6208</v>
      </c>
    </row>
    <row r="333" spans="1:4" x14ac:dyDescent="0.25">
      <c r="A333" s="7" t="s">
        <v>4868</v>
      </c>
      <c r="B333" s="8" t="s">
        <v>4869</v>
      </c>
      <c r="C333" s="8">
        <v>0.33100000000000002</v>
      </c>
      <c r="D333" s="16" t="s">
        <v>6208</v>
      </c>
    </row>
    <row r="334" spans="1:4" x14ac:dyDescent="0.25">
      <c r="A334" s="4" t="s">
        <v>4870</v>
      </c>
      <c r="B334" s="5" t="s">
        <v>4871</v>
      </c>
      <c r="C334" s="5">
        <v>0.33200000000000002</v>
      </c>
      <c r="D334" s="6" t="s">
        <v>6208</v>
      </c>
    </row>
    <row r="335" spans="1:4" x14ac:dyDescent="0.25">
      <c r="A335" s="7" t="s">
        <v>4872</v>
      </c>
      <c r="B335" s="8" t="s">
        <v>4873</v>
      </c>
      <c r="C335" s="8">
        <v>0.33300000000000002</v>
      </c>
      <c r="D335" s="16" t="s">
        <v>6208</v>
      </c>
    </row>
    <row r="336" spans="1:4" x14ac:dyDescent="0.25">
      <c r="A336" s="4" t="s">
        <v>4874</v>
      </c>
      <c r="B336" s="5" t="s">
        <v>4875</v>
      </c>
      <c r="C336" s="5">
        <v>0.33400000000000002</v>
      </c>
      <c r="D336" s="6" t="s">
        <v>6208</v>
      </c>
    </row>
    <row r="337" spans="1:4" x14ac:dyDescent="0.25">
      <c r="A337" s="7" t="s">
        <v>4876</v>
      </c>
      <c r="B337" s="8" t="s">
        <v>4877</v>
      </c>
      <c r="C337" s="8">
        <v>0.33500000000000002</v>
      </c>
      <c r="D337" s="16" t="s">
        <v>6208</v>
      </c>
    </row>
    <row r="338" spans="1:4" x14ac:dyDescent="0.25">
      <c r="A338" s="4" t="s">
        <v>4878</v>
      </c>
      <c r="B338" s="5" t="s">
        <v>4879</v>
      </c>
      <c r="C338" s="5">
        <v>0.33600000000000002</v>
      </c>
      <c r="D338" s="6" t="s">
        <v>6208</v>
      </c>
    </row>
    <row r="339" spans="1:4" x14ac:dyDescent="0.25">
      <c r="A339" s="7" t="s">
        <v>4880</v>
      </c>
      <c r="B339" s="8" t="s">
        <v>4881</v>
      </c>
      <c r="C339" s="8">
        <v>0.33700000000000002</v>
      </c>
      <c r="D339" s="16" t="s">
        <v>6208</v>
      </c>
    </row>
    <row r="340" spans="1:4" x14ac:dyDescent="0.25">
      <c r="A340" s="4" t="s">
        <v>4882</v>
      </c>
      <c r="B340" s="5" t="s">
        <v>4883</v>
      </c>
      <c r="C340" s="5">
        <v>0.33800000000000002</v>
      </c>
      <c r="D340" s="6" t="s">
        <v>6208</v>
      </c>
    </row>
    <row r="341" spans="1:4" x14ac:dyDescent="0.25">
      <c r="A341" s="7" t="s">
        <v>4884</v>
      </c>
      <c r="B341" s="8" t="s">
        <v>4885</v>
      </c>
      <c r="C341" s="8">
        <v>0.33900000000000002</v>
      </c>
      <c r="D341" s="16" t="s">
        <v>6208</v>
      </c>
    </row>
    <row r="342" spans="1:4" x14ac:dyDescent="0.25">
      <c r="A342" s="4" t="s">
        <v>4886</v>
      </c>
      <c r="B342" s="5" t="s">
        <v>4887</v>
      </c>
      <c r="C342" s="5">
        <v>0.34</v>
      </c>
      <c r="D342" s="6" t="s">
        <v>6208</v>
      </c>
    </row>
    <row r="343" spans="1:4" x14ac:dyDescent="0.25">
      <c r="A343" s="7" t="s">
        <v>4888</v>
      </c>
      <c r="B343" s="8" t="s">
        <v>4889</v>
      </c>
      <c r="C343" s="8">
        <v>0.34100000000000003</v>
      </c>
      <c r="D343" s="16" t="s">
        <v>6208</v>
      </c>
    </row>
    <row r="344" spans="1:4" x14ac:dyDescent="0.25">
      <c r="A344" s="4" t="s">
        <v>4890</v>
      </c>
      <c r="B344" s="5" t="s">
        <v>4891</v>
      </c>
      <c r="C344" s="5">
        <v>0.34200000000000003</v>
      </c>
      <c r="D344" s="6" t="s">
        <v>6208</v>
      </c>
    </row>
    <row r="345" spans="1:4" x14ac:dyDescent="0.25">
      <c r="A345" s="7" t="s">
        <v>4892</v>
      </c>
      <c r="B345" s="8" t="s">
        <v>4893</v>
      </c>
      <c r="C345" s="8">
        <v>0.34300000000000003</v>
      </c>
      <c r="D345" s="16" t="s">
        <v>6208</v>
      </c>
    </row>
    <row r="346" spans="1:4" x14ac:dyDescent="0.25">
      <c r="A346" s="4" t="s">
        <v>4894</v>
      </c>
      <c r="B346" s="5" t="s">
        <v>4895</v>
      </c>
      <c r="C346" s="5">
        <v>0.34399999999999997</v>
      </c>
      <c r="D346" s="6" t="s">
        <v>6208</v>
      </c>
    </row>
    <row r="347" spans="1:4" x14ac:dyDescent="0.25">
      <c r="A347" s="7" t="s">
        <v>4896</v>
      </c>
      <c r="B347" s="8" t="s">
        <v>4897</v>
      </c>
      <c r="C347" s="8">
        <v>0.34499999999999997</v>
      </c>
      <c r="D347" s="16" t="s">
        <v>6208</v>
      </c>
    </row>
    <row r="348" spans="1:4" x14ac:dyDescent="0.25">
      <c r="A348" s="4" t="s">
        <v>4898</v>
      </c>
      <c r="B348" s="5" t="s">
        <v>4899</v>
      </c>
      <c r="C348" s="5">
        <v>0.34599999999999997</v>
      </c>
      <c r="D348" s="6" t="s">
        <v>6208</v>
      </c>
    </row>
    <row r="349" spans="1:4" x14ac:dyDescent="0.25">
      <c r="A349" s="7" t="s">
        <v>4900</v>
      </c>
      <c r="B349" s="8" t="s">
        <v>4901</v>
      </c>
      <c r="C349" s="8">
        <v>0.34699999999999998</v>
      </c>
      <c r="D349" s="16" t="s">
        <v>6208</v>
      </c>
    </row>
    <row r="350" spans="1:4" x14ac:dyDescent="0.25">
      <c r="A350" s="4" t="s">
        <v>4902</v>
      </c>
      <c r="B350" s="5" t="s">
        <v>4903</v>
      </c>
      <c r="C350" s="5">
        <v>0.34799999999999998</v>
      </c>
      <c r="D350" s="6" t="s">
        <v>6208</v>
      </c>
    </row>
    <row r="351" spans="1:4" x14ac:dyDescent="0.25">
      <c r="A351" s="7" t="s">
        <v>4904</v>
      </c>
      <c r="B351" s="8" t="s">
        <v>4905</v>
      </c>
      <c r="C351" s="8">
        <v>0.34899999999999998</v>
      </c>
      <c r="D351" s="16" t="s">
        <v>6208</v>
      </c>
    </row>
    <row r="352" spans="1:4" x14ac:dyDescent="0.25">
      <c r="A352" s="4" t="s">
        <v>4906</v>
      </c>
      <c r="B352" s="5" t="s">
        <v>4907</v>
      </c>
      <c r="C352" s="5">
        <v>0.35</v>
      </c>
      <c r="D352" s="6" t="s">
        <v>6208</v>
      </c>
    </row>
    <row r="353" spans="1:4" x14ac:dyDescent="0.25">
      <c r="A353" s="7" t="s">
        <v>4908</v>
      </c>
      <c r="B353" s="8" t="s">
        <v>4909</v>
      </c>
      <c r="C353" s="8">
        <v>0.35099999999999998</v>
      </c>
      <c r="D353" s="16" t="s">
        <v>6208</v>
      </c>
    </row>
    <row r="354" spans="1:4" x14ac:dyDescent="0.25">
      <c r="A354" s="4" t="s">
        <v>4910</v>
      </c>
      <c r="B354" s="5" t="s">
        <v>4911</v>
      </c>
      <c r="C354" s="5">
        <v>0.35199999999999998</v>
      </c>
      <c r="D354" s="6" t="s">
        <v>6208</v>
      </c>
    </row>
    <row r="355" spans="1:4" x14ac:dyDescent="0.25">
      <c r="A355" s="7" t="s">
        <v>4912</v>
      </c>
      <c r="B355" s="8" t="s">
        <v>4913</v>
      </c>
      <c r="C355" s="8">
        <v>0.35299999999999998</v>
      </c>
      <c r="D355" s="16" t="s">
        <v>6208</v>
      </c>
    </row>
    <row r="356" spans="1:4" x14ac:dyDescent="0.25">
      <c r="A356" s="4" t="s">
        <v>4914</v>
      </c>
      <c r="B356" s="5" t="s">
        <v>4915</v>
      </c>
      <c r="C356" s="5">
        <v>0.35399999999999998</v>
      </c>
      <c r="D356" s="6" t="s">
        <v>6208</v>
      </c>
    </row>
    <row r="357" spans="1:4" x14ac:dyDescent="0.25">
      <c r="A357" s="7" t="s">
        <v>4916</v>
      </c>
      <c r="B357" s="8" t="s">
        <v>4917</v>
      </c>
      <c r="C357" s="8">
        <v>0.35499999999999998</v>
      </c>
      <c r="D357" s="16" t="s">
        <v>6208</v>
      </c>
    </row>
    <row r="358" spans="1:4" x14ac:dyDescent="0.25">
      <c r="A358" s="4" t="s">
        <v>4918</v>
      </c>
      <c r="B358" s="5" t="s">
        <v>4919</v>
      </c>
      <c r="C358" s="5">
        <v>0.35599999999999998</v>
      </c>
      <c r="D358" s="6" t="s">
        <v>6208</v>
      </c>
    </row>
    <row r="359" spans="1:4" x14ac:dyDescent="0.25">
      <c r="A359" s="7" t="s">
        <v>4920</v>
      </c>
      <c r="B359" s="8" t="s">
        <v>4921</v>
      </c>
      <c r="C359" s="8">
        <v>0.35699999999999998</v>
      </c>
      <c r="D359" s="16" t="s">
        <v>6208</v>
      </c>
    </row>
    <row r="360" spans="1:4" x14ac:dyDescent="0.25">
      <c r="A360" s="4" t="s">
        <v>4922</v>
      </c>
      <c r="B360" s="5" t="s">
        <v>4923</v>
      </c>
      <c r="C360" s="5">
        <v>0.35799999999999998</v>
      </c>
      <c r="D360" s="6" t="s">
        <v>6208</v>
      </c>
    </row>
    <row r="361" spans="1:4" x14ac:dyDescent="0.25">
      <c r="A361" s="7" t="s">
        <v>4924</v>
      </c>
      <c r="B361" s="8" t="s">
        <v>4925</v>
      </c>
      <c r="C361" s="8">
        <v>0.35899999999999999</v>
      </c>
      <c r="D361" s="16" t="s">
        <v>6208</v>
      </c>
    </row>
    <row r="362" spans="1:4" x14ac:dyDescent="0.25">
      <c r="A362" s="4" t="s">
        <v>4926</v>
      </c>
      <c r="B362" s="5" t="s">
        <v>4927</v>
      </c>
      <c r="C362" s="5">
        <v>0.36</v>
      </c>
      <c r="D362" s="6" t="s">
        <v>6208</v>
      </c>
    </row>
    <row r="363" spans="1:4" x14ac:dyDescent="0.25">
      <c r="A363" s="7" t="s">
        <v>4928</v>
      </c>
      <c r="B363" s="8" t="s">
        <v>4929</v>
      </c>
      <c r="C363" s="8">
        <v>0.36099999999999999</v>
      </c>
      <c r="D363" s="16" t="s">
        <v>6208</v>
      </c>
    </row>
    <row r="364" spans="1:4" x14ac:dyDescent="0.25">
      <c r="A364" s="4" t="s">
        <v>4930</v>
      </c>
      <c r="B364" s="5" t="s">
        <v>4931</v>
      </c>
      <c r="C364" s="5">
        <v>0.36199999999999999</v>
      </c>
      <c r="D364" s="6" t="s">
        <v>6208</v>
      </c>
    </row>
    <row r="365" spans="1:4" x14ac:dyDescent="0.25">
      <c r="A365" s="7" t="s">
        <v>4932</v>
      </c>
      <c r="B365" s="8" t="s">
        <v>4933</v>
      </c>
      <c r="C365" s="8">
        <v>0.36299999999999999</v>
      </c>
      <c r="D365" s="16" t="s">
        <v>6208</v>
      </c>
    </row>
    <row r="366" spans="1:4" x14ac:dyDescent="0.25">
      <c r="A366" s="4" t="s">
        <v>4934</v>
      </c>
      <c r="B366" s="5" t="s">
        <v>4935</v>
      </c>
      <c r="C366" s="5">
        <v>0.36399999999999999</v>
      </c>
      <c r="D366" s="6" t="s">
        <v>6208</v>
      </c>
    </row>
    <row r="367" spans="1:4" x14ac:dyDescent="0.25">
      <c r="A367" s="7" t="s">
        <v>4936</v>
      </c>
      <c r="B367" s="8" t="s">
        <v>4937</v>
      </c>
      <c r="C367" s="8">
        <v>0.36499999999999999</v>
      </c>
      <c r="D367" s="16" t="s">
        <v>6208</v>
      </c>
    </row>
    <row r="368" spans="1:4" x14ac:dyDescent="0.25">
      <c r="A368" s="4" t="s">
        <v>4938</v>
      </c>
      <c r="B368" s="5" t="s">
        <v>4939</v>
      </c>
      <c r="C368" s="5">
        <v>0.36599999999999999</v>
      </c>
      <c r="D368" s="6" t="s">
        <v>6208</v>
      </c>
    </row>
    <row r="369" spans="1:4" x14ac:dyDescent="0.25">
      <c r="A369" s="7" t="s">
        <v>4940</v>
      </c>
      <c r="B369" s="8" t="s">
        <v>4941</v>
      </c>
      <c r="C369" s="8">
        <v>0.36699999999999999</v>
      </c>
      <c r="D369" s="16" t="s">
        <v>6208</v>
      </c>
    </row>
    <row r="370" spans="1:4" x14ac:dyDescent="0.25">
      <c r="A370" s="4" t="s">
        <v>4942</v>
      </c>
      <c r="B370" s="5" t="s">
        <v>4943</v>
      </c>
      <c r="C370" s="5">
        <v>0.36799999999999999</v>
      </c>
      <c r="D370" s="6" t="s">
        <v>6208</v>
      </c>
    </row>
    <row r="371" spans="1:4" x14ac:dyDescent="0.25">
      <c r="A371" s="7" t="s">
        <v>4944</v>
      </c>
      <c r="B371" s="8" t="s">
        <v>4945</v>
      </c>
      <c r="C371" s="8">
        <v>0.36899999999999999</v>
      </c>
      <c r="D371" s="16" t="s">
        <v>6208</v>
      </c>
    </row>
    <row r="372" spans="1:4" x14ac:dyDescent="0.25">
      <c r="A372" s="4" t="s">
        <v>4946</v>
      </c>
      <c r="B372" s="5" t="s">
        <v>4947</v>
      </c>
      <c r="C372" s="5">
        <v>0.37</v>
      </c>
      <c r="D372" s="6" t="s">
        <v>6208</v>
      </c>
    </row>
    <row r="373" spans="1:4" x14ac:dyDescent="0.25">
      <c r="A373" s="7" t="s">
        <v>4948</v>
      </c>
      <c r="B373" s="8" t="s">
        <v>4949</v>
      </c>
      <c r="C373" s="8">
        <v>0.371</v>
      </c>
      <c r="D373" s="16" t="s">
        <v>6208</v>
      </c>
    </row>
    <row r="374" spans="1:4" x14ac:dyDescent="0.25">
      <c r="A374" s="4" t="s">
        <v>4950</v>
      </c>
      <c r="B374" s="5" t="s">
        <v>4951</v>
      </c>
      <c r="C374" s="5">
        <v>0.372</v>
      </c>
      <c r="D374" s="6" t="s">
        <v>6208</v>
      </c>
    </row>
    <row r="375" spans="1:4" x14ac:dyDescent="0.25">
      <c r="A375" s="7" t="s">
        <v>4952</v>
      </c>
      <c r="B375" s="8" t="s">
        <v>4953</v>
      </c>
      <c r="C375" s="8">
        <v>0.373</v>
      </c>
      <c r="D375" s="16" t="s">
        <v>6208</v>
      </c>
    </row>
    <row r="376" spans="1:4" x14ac:dyDescent="0.25">
      <c r="A376" s="4" t="s">
        <v>4954</v>
      </c>
      <c r="B376" s="5" t="s">
        <v>4955</v>
      </c>
      <c r="C376" s="5">
        <v>0.374</v>
      </c>
      <c r="D376" s="6" t="s">
        <v>6208</v>
      </c>
    </row>
    <row r="377" spans="1:4" x14ac:dyDescent="0.25">
      <c r="A377" s="7" t="s">
        <v>4956</v>
      </c>
      <c r="B377" s="8" t="s">
        <v>4957</v>
      </c>
      <c r="C377" s="8">
        <v>0.375</v>
      </c>
      <c r="D377" s="16" t="s">
        <v>6208</v>
      </c>
    </row>
    <row r="378" spans="1:4" x14ac:dyDescent="0.25">
      <c r="A378" s="4" t="s">
        <v>4958</v>
      </c>
      <c r="B378" s="5" t="s">
        <v>4959</v>
      </c>
      <c r="C378" s="5">
        <v>0.376</v>
      </c>
      <c r="D378" s="6" t="s">
        <v>6208</v>
      </c>
    </row>
    <row r="379" spans="1:4" x14ac:dyDescent="0.25">
      <c r="A379" s="7" t="s">
        <v>4960</v>
      </c>
      <c r="B379" s="8" t="s">
        <v>4961</v>
      </c>
      <c r="C379" s="8">
        <v>0.377</v>
      </c>
      <c r="D379" s="16" t="s">
        <v>6208</v>
      </c>
    </row>
    <row r="380" spans="1:4" x14ac:dyDescent="0.25">
      <c r="A380" s="4" t="s">
        <v>4962</v>
      </c>
      <c r="B380" s="5" t="s">
        <v>4963</v>
      </c>
      <c r="C380" s="5">
        <v>0.378</v>
      </c>
      <c r="D380" s="6" t="s">
        <v>6208</v>
      </c>
    </row>
    <row r="381" spans="1:4" x14ac:dyDescent="0.25">
      <c r="A381" s="7" t="s">
        <v>4964</v>
      </c>
      <c r="B381" s="8" t="s">
        <v>4965</v>
      </c>
      <c r="C381" s="8">
        <v>0.379</v>
      </c>
      <c r="D381" s="16" t="s">
        <v>6208</v>
      </c>
    </row>
    <row r="382" spans="1:4" x14ac:dyDescent="0.25">
      <c r="A382" s="4" t="s">
        <v>4966</v>
      </c>
      <c r="B382" s="5" t="s">
        <v>4967</v>
      </c>
      <c r="C382" s="5">
        <v>0.38</v>
      </c>
      <c r="D382" s="6" t="s">
        <v>6208</v>
      </c>
    </row>
    <row r="383" spans="1:4" x14ac:dyDescent="0.25">
      <c r="A383" s="7" t="s">
        <v>4968</v>
      </c>
      <c r="B383" s="8" t="s">
        <v>4969</v>
      </c>
      <c r="C383" s="8">
        <v>0.38100000000000001</v>
      </c>
      <c r="D383" s="16" t="s">
        <v>6208</v>
      </c>
    </row>
    <row r="384" spans="1:4" x14ac:dyDescent="0.25">
      <c r="A384" s="4" t="s">
        <v>4970</v>
      </c>
      <c r="B384" s="5" t="s">
        <v>4971</v>
      </c>
      <c r="C384" s="5">
        <v>0.38200000000000001</v>
      </c>
      <c r="D384" s="6" t="s">
        <v>6208</v>
      </c>
    </row>
    <row r="385" spans="1:4" x14ac:dyDescent="0.25">
      <c r="A385" s="7" t="s">
        <v>4972</v>
      </c>
      <c r="B385" s="8" t="s">
        <v>4973</v>
      </c>
      <c r="C385" s="8">
        <v>0.38300000000000001</v>
      </c>
      <c r="D385" s="16" t="s">
        <v>6208</v>
      </c>
    </row>
    <row r="386" spans="1:4" x14ac:dyDescent="0.25">
      <c r="A386" s="4" t="s">
        <v>4974</v>
      </c>
      <c r="B386" s="5" t="s">
        <v>4975</v>
      </c>
      <c r="C386" s="5">
        <v>0.38400000000000001</v>
      </c>
      <c r="D386" s="6" t="s">
        <v>6208</v>
      </c>
    </row>
    <row r="387" spans="1:4" x14ac:dyDescent="0.25">
      <c r="A387" s="7" t="s">
        <v>4976</v>
      </c>
      <c r="B387" s="8" t="s">
        <v>4977</v>
      </c>
      <c r="C387" s="8">
        <v>0.38500000000000001</v>
      </c>
      <c r="D387" s="16" t="s">
        <v>6208</v>
      </c>
    </row>
    <row r="388" spans="1:4" x14ac:dyDescent="0.25">
      <c r="A388" s="4" t="s">
        <v>4978</v>
      </c>
      <c r="B388" s="5" t="s">
        <v>4979</v>
      </c>
      <c r="C388" s="5">
        <v>0.38600000000000001</v>
      </c>
      <c r="D388" s="6" t="s">
        <v>6208</v>
      </c>
    </row>
    <row r="389" spans="1:4" x14ac:dyDescent="0.25">
      <c r="A389" s="7" t="s">
        <v>4980</v>
      </c>
      <c r="B389" s="8" t="s">
        <v>4981</v>
      </c>
      <c r="C389" s="8">
        <v>0.38700000000000001</v>
      </c>
      <c r="D389" s="16" t="s">
        <v>6208</v>
      </c>
    </row>
    <row r="390" spans="1:4" x14ac:dyDescent="0.25">
      <c r="A390" s="4" t="s">
        <v>4982</v>
      </c>
      <c r="B390" s="5" t="s">
        <v>4983</v>
      </c>
      <c r="C390" s="5">
        <v>0.38800000000000001</v>
      </c>
      <c r="D390" s="6" t="s">
        <v>6208</v>
      </c>
    </row>
    <row r="391" spans="1:4" x14ac:dyDescent="0.25">
      <c r="A391" s="7" t="s">
        <v>4984</v>
      </c>
      <c r="B391" s="8" t="s">
        <v>4985</v>
      </c>
      <c r="C391" s="8">
        <v>0.38900000000000001</v>
      </c>
      <c r="D391" s="16" t="s">
        <v>6208</v>
      </c>
    </row>
    <row r="392" spans="1:4" x14ac:dyDescent="0.25">
      <c r="A392" s="4" t="s">
        <v>4986</v>
      </c>
      <c r="B392" s="5" t="s">
        <v>4987</v>
      </c>
      <c r="C392" s="5">
        <v>0.39</v>
      </c>
      <c r="D392" s="6" t="s">
        <v>6208</v>
      </c>
    </row>
    <row r="393" spans="1:4" x14ac:dyDescent="0.25">
      <c r="A393" s="7" t="s">
        <v>4988</v>
      </c>
      <c r="B393" s="8" t="s">
        <v>4989</v>
      </c>
      <c r="C393" s="8">
        <v>0.39100000000000001</v>
      </c>
      <c r="D393" s="16" t="s">
        <v>6208</v>
      </c>
    </row>
    <row r="394" spans="1:4" x14ac:dyDescent="0.25">
      <c r="A394" s="4" t="s">
        <v>4990</v>
      </c>
      <c r="B394" s="5" t="s">
        <v>4991</v>
      </c>
      <c r="C394" s="5">
        <v>0.39200000000000002</v>
      </c>
      <c r="D394" s="6" t="s">
        <v>6208</v>
      </c>
    </row>
    <row r="395" spans="1:4" x14ac:dyDescent="0.25">
      <c r="A395" s="7" t="s">
        <v>4992</v>
      </c>
      <c r="B395" s="8" t="s">
        <v>4993</v>
      </c>
      <c r="C395" s="8">
        <v>0.39300000000000002</v>
      </c>
      <c r="D395" s="16" t="s">
        <v>6208</v>
      </c>
    </row>
    <row r="396" spans="1:4" x14ac:dyDescent="0.25">
      <c r="A396" s="4" t="s">
        <v>4994</v>
      </c>
      <c r="B396" s="5" t="s">
        <v>4995</v>
      </c>
      <c r="C396" s="5">
        <v>0.39400000000000002</v>
      </c>
      <c r="D396" s="6" t="s">
        <v>6208</v>
      </c>
    </row>
    <row r="397" spans="1:4" x14ac:dyDescent="0.25">
      <c r="A397" s="7" t="s">
        <v>4996</v>
      </c>
      <c r="B397" s="8" t="s">
        <v>4997</v>
      </c>
      <c r="C397" s="8">
        <v>0.39500000000000002</v>
      </c>
      <c r="D397" s="16" t="s">
        <v>6208</v>
      </c>
    </row>
    <row r="398" spans="1:4" x14ac:dyDescent="0.25">
      <c r="A398" s="4" t="s">
        <v>4998</v>
      </c>
      <c r="B398" s="5" t="s">
        <v>4999</v>
      </c>
      <c r="C398" s="5">
        <v>0.39600000000000002</v>
      </c>
      <c r="D398" s="6" t="s">
        <v>6208</v>
      </c>
    </row>
    <row r="399" spans="1:4" x14ac:dyDescent="0.25">
      <c r="A399" s="7" t="s">
        <v>5000</v>
      </c>
      <c r="B399" s="8" t="s">
        <v>5001</v>
      </c>
      <c r="C399" s="8">
        <v>0.39700000000000002</v>
      </c>
      <c r="D399" s="16" t="s">
        <v>6208</v>
      </c>
    </row>
    <row r="400" spans="1:4" x14ac:dyDescent="0.25">
      <c r="A400" s="4" t="s">
        <v>5002</v>
      </c>
      <c r="B400" s="5" t="s">
        <v>5003</v>
      </c>
      <c r="C400" s="5">
        <v>0.39800000000000002</v>
      </c>
      <c r="D400" s="6" t="s">
        <v>6208</v>
      </c>
    </row>
    <row r="401" spans="1:4" x14ac:dyDescent="0.25">
      <c r="A401" s="7" t="s">
        <v>5004</v>
      </c>
      <c r="B401" s="8" t="s">
        <v>5005</v>
      </c>
      <c r="C401" s="8">
        <v>0.39900000000000002</v>
      </c>
      <c r="D401" s="16" t="s">
        <v>6208</v>
      </c>
    </row>
    <row r="402" spans="1:4" x14ac:dyDescent="0.25">
      <c r="A402" s="4" t="s">
        <v>5006</v>
      </c>
      <c r="B402" s="5" t="s">
        <v>5007</v>
      </c>
      <c r="C402" s="5">
        <v>0.4</v>
      </c>
      <c r="D402" s="6" t="s">
        <v>6208</v>
      </c>
    </row>
    <row r="403" spans="1:4" x14ac:dyDescent="0.25">
      <c r="A403" s="7" t="s">
        <v>5008</v>
      </c>
      <c r="B403" s="8" t="s">
        <v>5009</v>
      </c>
      <c r="C403" s="8">
        <v>0.40100000000000002</v>
      </c>
      <c r="D403" s="16" t="s">
        <v>6208</v>
      </c>
    </row>
    <row r="404" spans="1:4" x14ac:dyDescent="0.25">
      <c r="A404" s="4" t="s">
        <v>5010</v>
      </c>
      <c r="B404" s="5" t="s">
        <v>5011</v>
      </c>
      <c r="C404" s="5">
        <v>0.40200000000000002</v>
      </c>
      <c r="D404" s="6" t="s">
        <v>6208</v>
      </c>
    </row>
    <row r="405" spans="1:4" x14ac:dyDescent="0.25">
      <c r="A405" s="7" t="s">
        <v>5012</v>
      </c>
      <c r="B405" s="8" t="s">
        <v>5013</v>
      </c>
      <c r="C405" s="8">
        <v>0.40300000000000002</v>
      </c>
      <c r="D405" s="16" t="s">
        <v>6208</v>
      </c>
    </row>
    <row r="406" spans="1:4" x14ac:dyDescent="0.25">
      <c r="A406" s="4" t="s">
        <v>5014</v>
      </c>
      <c r="B406" s="5" t="s">
        <v>5015</v>
      </c>
      <c r="C406" s="5">
        <v>0.40400000000000003</v>
      </c>
      <c r="D406" s="6" t="s">
        <v>6208</v>
      </c>
    </row>
    <row r="407" spans="1:4" x14ac:dyDescent="0.25">
      <c r="A407" s="7" t="s">
        <v>5016</v>
      </c>
      <c r="B407" s="8" t="s">
        <v>5017</v>
      </c>
      <c r="C407" s="8">
        <v>0.40500000000000003</v>
      </c>
      <c r="D407" s="16" t="s">
        <v>6208</v>
      </c>
    </row>
    <row r="408" spans="1:4" x14ac:dyDescent="0.25">
      <c r="A408" s="4" t="s">
        <v>5018</v>
      </c>
      <c r="B408" s="5" t="s">
        <v>5019</v>
      </c>
      <c r="C408" s="5">
        <v>0.40600000000000003</v>
      </c>
      <c r="D408" s="6" t="s">
        <v>6208</v>
      </c>
    </row>
    <row r="409" spans="1:4" x14ac:dyDescent="0.25">
      <c r="A409" s="7" t="s">
        <v>5020</v>
      </c>
      <c r="B409" s="8" t="s">
        <v>5021</v>
      </c>
      <c r="C409" s="8">
        <v>0.40699999999999997</v>
      </c>
      <c r="D409" s="16" t="s">
        <v>6208</v>
      </c>
    </row>
    <row r="410" spans="1:4" x14ac:dyDescent="0.25">
      <c r="A410" s="4" t="s">
        <v>5022</v>
      </c>
      <c r="B410" s="5" t="s">
        <v>5023</v>
      </c>
      <c r="C410" s="5">
        <v>0.40799999999999997</v>
      </c>
      <c r="D410" s="6" t="s">
        <v>6208</v>
      </c>
    </row>
    <row r="411" spans="1:4" x14ac:dyDescent="0.25">
      <c r="A411" s="7" t="s">
        <v>5024</v>
      </c>
      <c r="B411" s="8" t="s">
        <v>5025</v>
      </c>
      <c r="C411" s="8">
        <v>0.40899999999999997</v>
      </c>
      <c r="D411" s="16" t="s">
        <v>6208</v>
      </c>
    </row>
    <row r="412" spans="1:4" x14ac:dyDescent="0.25">
      <c r="A412" s="4" t="s">
        <v>5026</v>
      </c>
      <c r="B412" s="5" t="s">
        <v>5027</v>
      </c>
      <c r="C412" s="5">
        <v>0.41</v>
      </c>
      <c r="D412" s="6" t="s">
        <v>6208</v>
      </c>
    </row>
    <row r="413" spans="1:4" x14ac:dyDescent="0.25">
      <c r="A413" s="7" t="s">
        <v>5028</v>
      </c>
      <c r="B413" s="8" t="s">
        <v>5029</v>
      </c>
      <c r="C413" s="8">
        <v>0.41099999999999998</v>
      </c>
      <c r="D413" s="16" t="s">
        <v>6208</v>
      </c>
    </row>
    <row r="414" spans="1:4" x14ac:dyDescent="0.25">
      <c r="A414" s="4" t="s">
        <v>5030</v>
      </c>
      <c r="B414" s="5" t="s">
        <v>5031</v>
      </c>
      <c r="C414" s="5">
        <v>0.41199999999999998</v>
      </c>
      <c r="D414" s="6" t="s">
        <v>6208</v>
      </c>
    </row>
    <row r="415" spans="1:4" x14ac:dyDescent="0.25">
      <c r="A415" s="7" t="s">
        <v>5032</v>
      </c>
      <c r="B415" s="8" t="s">
        <v>5033</v>
      </c>
      <c r="C415" s="8">
        <v>0.41299999999999998</v>
      </c>
      <c r="D415" s="16" t="s">
        <v>6208</v>
      </c>
    </row>
    <row r="416" spans="1:4" x14ac:dyDescent="0.25">
      <c r="A416" s="4" t="s">
        <v>5034</v>
      </c>
      <c r="B416" s="5" t="s">
        <v>5035</v>
      </c>
      <c r="C416" s="5">
        <v>0.41399999999999998</v>
      </c>
      <c r="D416" s="6" t="s">
        <v>6208</v>
      </c>
    </row>
    <row r="417" spans="1:4" x14ac:dyDescent="0.25">
      <c r="A417" s="7" t="s">
        <v>5036</v>
      </c>
      <c r="B417" s="8" t="s">
        <v>5037</v>
      </c>
      <c r="C417" s="8">
        <v>0.41499999999999998</v>
      </c>
      <c r="D417" s="16" t="s">
        <v>6208</v>
      </c>
    </row>
    <row r="418" spans="1:4" x14ac:dyDescent="0.25">
      <c r="A418" s="4" t="s">
        <v>5038</v>
      </c>
      <c r="B418" s="5" t="s">
        <v>5039</v>
      </c>
      <c r="C418" s="5">
        <v>0.41599999999999998</v>
      </c>
      <c r="D418" s="6" t="s">
        <v>6208</v>
      </c>
    </row>
    <row r="419" spans="1:4" x14ac:dyDescent="0.25">
      <c r="A419" s="7" t="s">
        <v>5040</v>
      </c>
      <c r="B419" s="8" t="s">
        <v>5041</v>
      </c>
      <c r="C419" s="8">
        <v>0.41699999999999998</v>
      </c>
      <c r="D419" s="16" t="s">
        <v>6208</v>
      </c>
    </row>
    <row r="420" spans="1:4" x14ac:dyDescent="0.25">
      <c r="A420" s="4" t="s">
        <v>5042</v>
      </c>
      <c r="B420" s="5" t="s">
        <v>5043</v>
      </c>
      <c r="C420" s="5">
        <v>0.41799999999999998</v>
      </c>
      <c r="D420" s="6" t="s">
        <v>6208</v>
      </c>
    </row>
    <row r="421" spans="1:4" x14ac:dyDescent="0.25">
      <c r="A421" s="7" t="s">
        <v>5044</v>
      </c>
      <c r="B421" s="8" t="s">
        <v>5045</v>
      </c>
      <c r="C421" s="8">
        <v>0.41899999999999998</v>
      </c>
      <c r="D421" s="16" t="s">
        <v>6208</v>
      </c>
    </row>
    <row r="422" spans="1:4" x14ac:dyDescent="0.25">
      <c r="A422" s="4" t="s">
        <v>5046</v>
      </c>
      <c r="B422" s="5" t="s">
        <v>5047</v>
      </c>
      <c r="C422" s="5">
        <v>0.42</v>
      </c>
      <c r="D422" s="6" t="s">
        <v>6208</v>
      </c>
    </row>
    <row r="423" spans="1:4" x14ac:dyDescent="0.25">
      <c r="A423" s="7" t="s">
        <v>5048</v>
      </c>
      <c r="B423" s="8" t="s">
        <v>5049</v>
      </c>
      <c r="C423" s="8">
        <v>0.42099999999999999</v>
      </c>
      <c r="D423" s="16" t="s">
        <v>6208</v>
      </c>
    </row>
    <row r="424" spans="1:4" x14ac:dyDescent="0.25">
      <c r="A424" s="4" t="s">
        <v>5050</v>
      </c>
      <c r="B424" s="5" t="s">
        <v>5051</v>
      </c>
      <c r="C424" s="5">
        <v>0.42199999999999999</v>
      </c>
      <c r="D424" s="6" t="s">
        <v>6208</v>
      </c>
    </row>
    <row r="425" spans="1:4" x14ac:dyDescent="0.25">
      <c r="A425" s="7" t="s">
        <v>5052</v>
      </c>
      <c r="B425" s="8" t="s">
        <v>5053</v>
      </c>
      <c r="C425" s="8">
        <v>0.42299999999999999</v>
      </c>
      <c r="D425" s="16" t="s">
        <v>6208</v>
      </c>
    </row>
    <row r="426" spans="1:4" x14ac:dyDescent="0.25">
      <c r="A426" s="4" t="s">
        <v>5054</v>
      </c>
      <c r="B426" s="5" t="s">
        <v>5055</v>
      </c>
      <c r="C426" s="5">
        <v>0.42399999999999999</v>
      </c>
      <c r="D426" s="6" t="s">
        <v>6208</v>
      </c>
    </row>
    <row r="427" spans="1:4" x14ac:dyDescent="0.25">
      <c r="A427" s="7" t="s">
        <v>5056</v>
      </c>
      <c r="B427" s="8" t="s">
        <v>5057</v>
      </c>
      <c r="C427" s="8">
        <v>0.42499999999999999</v>
      </c>
      <c r="D427" s="16" t="s">
        <v>6208</v>
      </c>
    </row>
    <row r="428" spans="1:4" x14ac:dyDescent="0.25">
      <c r="A428" s="4" t="s">
        <v>5058</v>
      </c>
      <c r="B428" s="5" t="s">
        <v>5059</v>
      </c>
      <c r="C428" s="5">
        <v>0.42599999999999999</v>
      </c>
      <c r="D428" s="6" t="s">
        <v>6208</v>
      </c>
    </row>
    <row r="429" spans="1:4" x14ac:dyDescent="0.25">
      <c r="A429" s="7" t="s">
        <v>5060</v>
      </c>
      <c r="B429" s="8" t="s">
        <v>5061</v>
      </c>
      <c r="C429" s="8">
        <v>0.42699999999999999</v>
      </c>
      <c r="D429" s="16" t="s">
        <v>6208</v>
      </c>
    </row>
    <row r="430" spans="1:4" x14ac:dyDescent="0.25">
      <c r="A430" s="4" t="s">
        <v>5062</v>
      </c>
      <c r="B430" s="5" t="s">
        <v>5063</v>
      </c>
      <c r="C430" s="5">
        <v>0.42799999999999999</v>
      </c>
      <c r="D430" s="6" t="s">
        <v>6208</v>
      </c>
    </row>
    <row r="431" spans="1:4" x14ac:dyDescent="0.25">
      <c r="A431" s="7" t="s">
        <v>5064</v>
      </c>
      <c r="B431" s="8" t="s">
        <v>5065</v>
      </c>
      <c r="C431" s="8">
        <v>0.42899999999999999</v>
      </c>
      <c r="D431" s="16" t="s">
        <v>6208</v>
      </c>
    </row>
    <row r="432" spans="1:4" x14ac:dyDescent="0.25">
      <c r="A432" s="4" t="s">
        <v>5066</v>
      </c>
      <c r="B432" s="5" t="s">
        <v>5067</v>
      </c>
      <c r="C432" s="5">
        <v>0.43</v>
      </c>
      <c r="D432" s="6" t="s">
        <v>6208</v>
      </c>
    </row>
    <row r="433" spans="1:4" x14ac:dyDescent="0.25">
      <c r="A433" s="7" t="s">
        <v>5068</v>
      </c>
      <c r="B433" s="8" t="s">
        <v>5069</v>
      </c>
      <c r="C433" s="8">
        <v>0.43099999999999999</v>
      </c>
      <c r="D433" s="16" t="s">
        <v>6208</v>
      </c>
    </row>
    <row r="434" spans="1:4" x14ac:dyDescent="0.25">
      <c r="A434" s="4" t="s">
        <v>5070</v>
      </c>
      <c r="B434" s="5" t="s">
        <v>5071</v>
      </c>
      <c r="C434" s="5">
        <v>0.432</v>
      </c>
      <c r="D434" s="6" t="s">
        <v>6208</v>
      </c>
    </row>
    <row r="435" spans="1:4" x14ac:dyDescent="0.25">
      <c r="A435" s="7" t="s">
        <v>5072</v>
      </c>
      <c r="B435" s="8" t="s">
        <v>5073</v>
      </c>
      <c r="C435" s="8">
        <v>0.433</v>
      </c>
      <c r="D435" s="16" t="s">
        <v>6208</v>
      </c>
    </row>
    <row r="436" spans="1:4" x14ac:dyDescent="0.25">
      <c r="A436" s="4" t="s">
        <v>5074</v>
      </c>
      <c r="B436" s="5" t="s">
        <v>5075</v>
      </c>
      <c r="C436" s="5">
        <v>0.434</v>
      </c>
      <c r="D436" s="6" t="s">
        <v>6208</v>
      </c>
    </row>
    <row r="437" spans="1:4" x14ac:dyDescent="0.25">
      <c r="A437" s="7" t="s">
        <v>5076</v>
      </c>
      <c r="B437" s="8" t="s">
        <v>5077</v>
      </c>
      <c r="C437" s="8">
        <v>0.435</v>
      </c>
      <c r="D437" s="16" t="s">
        <v>6208</v>
      </c>
    </row>
    <row r="438" spans="1:4" x14ac:dyDescent="0.25">
      <c r="A438" s="4" t="s">
        <v>5078</v>
      </c>
      <c r="B438" s="5" t="s">
        <v>5079</v>
      </c>
      <c r="C438" s="5">
        <v>0.436</v>
      </c>
      <c r="D438" s="6" t="s">
        <v>6208</v>
      </c>
    </row>
    <row r="439" spans="1:4" x14ac:dyDescent="0.25">
      <c r="A439" s="7" t="s">
        <v>5080</v>
      </c>
      <c r="B439" s="8" t="s">
        <v>5081</v>
      </c>
      <c r="C439" s="8">
        <v>0.437</v>
      </c>
      <c r="D439" s="16" t="s">
        <v>6208</v>
      </c>
    </row>
    <row r="440" spans="1:4" x14ac:dyDescent="0.25">
      <c r="A440" s="4" t="s">
        <v>5082</v>
      </c>
      <c r="B440" s="5" t="s">
        <v>5083</v>
      </c>
      <c r="C440" s="5">
        <v>0.438</v>
      </c>
      <c r="D440" s="6" t="s">
        <v>6208</v>
      </c>
    </row>
    <row r="441" spans="1:4" x14ac:dyDescent="0.25">
      <c r="A441" s="7" t="s">
        <v>5084</v>
      </c>
      <c r="B441" s="8" t="s">
        <v>5085</v>
      </c>
      <c r="C441" s="8">
        <v>0.439</v>
      </c>
      <c r="D441" s="16" t="s">
        <v>6208</v>
      </c>
    </row>
    <row r="442" spans="1:4" x14ac:dyDescent="0.25">
      <c r="A442" s="4" t="s">
        <v>5086</v>
      </c>
      <c r="B442" s="5" t="s">
        <v>5087</v>
      </c>
      <c r="C442" s="5">
        <v>0.44</v>
      </c>
      <c r="D442" s="6" t="s">
        <v>6208</v>
      </c>
    </row>
    <row r="443" spans="1:4" x14ac:dyDescent="0.25">
      <c r="A443" s="7" t="s">
        <v>5088</v>
      </c>
      <c r="B443" s="8" t="s">
        <v>5089</v>
      </c>
      <c r="C443" s="8">
        <v>0.441</v>
      </c>
      <c r="D443" s="16" t="s">
        <v>6208</v>
      </c>
    </row>
    <row r="444" spans="1:4" x14ac:dyDescent="0.25">
      <c r="A444" s="4" t="s">
        <v>5090</v>
      </c>
      <c r="B444" s="5" t="s">
        <v>5091</v>
      </c>
      <c r="C444" s="5">
        <v>0.442</v>
      </c>
      <c r="D444" s="6" t="s">
        <v>6208</v>
      </c>
    </row>
    <row r="445" spans="1:4" x14ac:dyDescent="0.25">
      <c r="A445" s="7" t="s">
        <v>5092</v>
      </c>
      <c r="B445" s="8" t="s">
        <v>5093</v>
      </c>
      <c r="C445" s="8">
        <v>0.443</v>
      </c>
      <c r="D445" s="16" t="s">
        <v>6208</v>
      </c>
    </row>
    <row r="446" spans="1:4" x14ac:dyDescent="0.25">
      <c r="A446" s="4" t="s">
        <v>5094</v>
      </c>
      <c r="B446" s="5" t="s">
        <v>5095</v>
      </c>
      <c r="C446" s="5">
        <v>0.44400000000000001</v>
      </c>
      <c r="D446" s="6" t="s">
        <v>6208</v>
      </c>
    </row>
    <row r="447" spans="1:4" x14ac:dyDescent="0.25">
      <c r="A447" s="7" t="s">
        <v>5096</v>
      </c>
      <c r="B447" s="8" t="s">
        <v>5097</v>
      </c>
      <c r="C447" s="8">
        <v>0.44500000000000001</v>
      </c>
      <c r="D447" s="16" t="s">
        <v>6208</v>
      </c>
    </row>
    <row r="448" spans="1:4" x14ac:dyDescent="0.25">
      <c r="A448" s="4" t="s">
        <v>5098</v>
      </c>
      <c r="B448" s="5" t="s">
        <v>5099</v>
      </c>
      <c r="C448" s="5">
        <v>0.44600000000000001</v>
      </c>
      <c r="D448" s="6" t="s">
        <v>6208</v>
      </c>
    </row>
    <row r="449" spans="1:4" x14ac:dyDescent="0.25">
      <c r="A449" s="7" t="s">
        <v>5100</v>
      </c>
      <c r="B449" s="8" t="s">
        <v>5101</v>
      </c>
      <c r="C449" s="8">
        <v>0.44700000000000001</v>
      </c>
      <c r="D449" s="16" t="s">
        <v>6208</v>
      </c>
    </row>
    <row r="450" spans="1:4" x14ac:dyDescent="0.25">
      <c r="A450" s="4" t="s">
        <v>5102</v>
      </c>
      <c r="B450" s="5" t="s">
        <v>5103</v>
      </c>
      <c r="C450" s="5">
        <v>0.44800000000000001</v>
      </c>
      <c r="D450" s="6" t="s">
        <v>6208</v>
      </c>
    </row>
    <row r="451" spans="1:4" x14ac:dyDescent="0.25">
      <c r="A451" s="7" t="s">
        <v>5104</v>
      </c>
      <c r="B451" s="8" t="s">
        <v>5105</v>
      </c>
      <c r="C451" s="8">
        <v>0.44900000000000001</v>
      </c>
      <c r="D451" s="16" t="s">
        <v>6208</v>
      </c>
    </row>
    <row r="452" spans="1:4" x14ac:dyDescent="0.25">
      <c r="A452" s="4" t="s">
        <v>5106</v>
      </c>
      <c r="B452" s="5" t="s">
        <v>5107</v>
      </c>
      <c r="C452" s="5">
        <v>0.45</v>
      </c>
      <c r="D452" s="6" t="s">
        <v>6208</v>
      </c>
    </row>
    <row r="453" spans="1:4" x14ac:dyDescent="0.25">
      <c r="A453" s="7" t="s">
        <v>5108</v>
      </c>
      <c r="B453" s="8" t="s">
        <v>5109</v>
      </c>
      <c r="C453" s="8">
        <v>0.45100000000000001</v>
      </c>
      <c r="D453" s="16" t="s">
        <v>6208</v>
      </c>
    </row>
    <row r="454" spans="1:4" x14ac:dyDescent="0.25">
      <c r="A454" s="4" t="s">
        <v>5110</v>
      </c>
      <c r="B454" s="5" t="s">
        <v>5111</v>
      </c>
      <c r="C454" s="5">
        <v>0.45200000000000001</v>
      </c>
      <c r="D454" s="6" t="s">
        <v>6208</v>
      </c>
    </row>
    <row r="455" spans="1:4" x14ac:dyDescent="0.25">
      <c r="A455" s="7" t="s">
        <v>5112</v>
      </c>
      <c r="B455" s="8" t="s">
        <v>5113</v>
      </c>
      <c r="C455" s="8">
        <v>0.45300000000000001</v>
      </c>
      <c r="D455" s="16" t="s">
        <v>6208</v>
      </c>
    </row>
    <row r="456" spans="1:4" x14ac:dyDescent="0.25">
      <c r="A456" s="4" t="s">
        <v>5114</v>
      </c>
      <c r="B456" s="5" t="s">
        <v>5115</v>
      </c>
      <c r="C456" s="5">
        <v>0.45400000000000001</v>
      </c>
      <c r="D456" s="6" t="s">
        <v>6208</v>
      </c>
    </row>
    <row r="457" spans="1:4" x14ac:dyDescent="0.25">
      <c r="A457" s="7" t="s">
        <v>5116</v>
      </c>
      <c r="B457" s="8" t="s">
        <v>5117</v>
      </c>
      <c r="C457" s="8">
        <v>0.45500000000000002</v>
      </c>
      <c r="D457" s="16" t="s">
        <v>6208</v>
      </c>
    </row>
    <row r="458" spans="1:4" x14ac:dyDescent="0.25">
      <c r="A458" s="4" t="s">
        <v>5118</v>
      </c>
      <c r="B458" s="5" t="s">
        <v>5119</v>
      </c>
      <c r="C458" s="5">
        <v>0.45600000000000002</v>
      </c>
      <c r="D458" s="6" t="s">
        <v>6208</v>
      </c>
    </row>
    <row r="459" spans="1:4" x14ac:dyDescent="0.25">
      <c r="A459" s="7" t="s">
        <v>5120</v>
      </c>
      <c r="B459" s="8" t="s">
        <v>5121</v>
      </c>
      <c r="C459" s="8">
        <v>0.45700000000000002</v>
      </c>
      <c r="D459" s="16" t="s">
        <v>6208</v>
      </c>
    </row>
    <row r="460" spans="1:4" x14ac:dyDescent="0.25">
      <c r="A460" s="4" t="s">
        <v>5122</v>
      </c>
      <c r="B460" s="5" t="s">
        <v>5123</v>
      </c>
      <c r="C460" s="5">
        <v>0.45800000000000002</v>
      </c>
      <c r="D460" s="6" t="s">
        <v>6208</v>
      </c>
    </row>
    <row r="461" spans="1:4" x14ac:dyDescent="0.25">
      <c r="A461" s="7" t="s">
        <v>5124</v>
      </c>
      <c r="B461" s="8" t="s">
        <v>5125</v>
      </c>
      <c r="C461" s="8">
        <v>0.45900000000000002</v>
      </c>
      <c r="D461" s="16" t="s">
        <v>6208</v>
      </c>
    </row>
    <row r="462" spans="1:4" x14ac:dyDescent="0.25">
      <c r="A462" s="4" t="s">
        <v>5126</v>
      </c>
      <c r="B462" s="5" t="s">
        <v>5127</v>
      </c>
      <c r="C462" s="5">
        <v>0.46</v>
      </c>
      <c r="D462" s="6" t="s">
        <v>6208</v>
      </c>
    </row>
    <row r="463" spans="1:4" x14ac:dyDescent="0.25">
      <c r="A463" s="7" t="s">
        <v>5128</v>
      </c>
      <c r="B463" s="8" t="s">
        <v>5129</v>
      </c>
      <c r="C463" s="8">
        <v>0.46100000000000002</v>
      </c>
      <c r="D463" s="16" t="s">
        <v>6208</v>
      </c>
    </row>
    <row r="464" spans="1:4" x14ac:dyDescent="0.25">
      <c r="A464" s="4" t="s">
        <v>5130</v>
      </c>
      <c r="B464" s="5" t="s">
        <v>5131</v>
      </c>
      <c r="C464" s="5">
        <v>0.46200000000000002</v>
      </c>
      <c r="D464" s="6" t="s">
        <v>6208</v>
      </c>
    </row>
    <row r="465" spans="1:4" x14ac:dyDescent="0.25">
      <c r="A465" s="7" t="s">
        <v>5132</v>
      </c>
      <c r="B465" s="8" t="s">
        <v>5133</v>
      </c>
      <c r="C465" s="8">
        <v>0.46300000000000002</v>
      </c>
      <c r="D465" s="16" t="s">
        <v>6208</v>
      </c>
    </row>
    <row r="466" spans="1:4" x14ac:dyDescent="0.25">
      <c r="A466" s="4" t="s">
        <v>5134</v>
      </c>
      <c r="B466" s="5" t="s">
        <v>5135</v>
      </c>
      <c r="C466" s="5">
        <v>0.46400000000000002</v>
      </c>
      <c r="D466" s="6" t="s">
        <v>6208</v>
      </c>
    </row>
    <row r="467" spans="1:4" x14ac:dyDescent="0.25">
      <c r="A467" s="7" t="s">
        <v>5136</v>
      </c>
      <c r="B467" s="8" t="s">
        <v>5137</v>
      </c>
      <c r="C467" s="8">
        <v>0.46500000000000002</v>
      </c>
      <c r="D467" s="16" t="s">
        <v>6208</v>
      </c>
    </row>
    <row r="468" spans="1:4" x14ac:dyDescent="0.25">
      <c r="A468" s="4" t="s">
        <v>5138</v>
      </c>
      <c r="B468" s="5" t="s">
        <v>5139</v>
      </c>
      <c r="C468" s="5">
        <v>0.46600000000000003</v>
      </c>
      <c r="D468" s="6" t="s">
        <v>6208</v>
      </c>
    </row>
    <row r="469" spans="1:4" x14ac:dyDescent="0.25">
      <c r="A469" s="7" t="s">
        <v>5140</v>
      </c>
      <c r="B469" s="8" t="s">
        <v>5141</v>
      </c>
      <c r="C469" s="8">
        <v>0.46700000000000003</v>
      </c>
      <c r="D469" s="16" t="s">
        <v>6208</v>
      </c>
    </row>
    <row r="470" spans="1:4" x14ac:dyDescent="0.25">
      <c r="A470" s="4" t="s">
        <v>5142</v>
      </c>
      <c r="B470" s="5" t="s">
        <v>5143</v>
      </c>
      <c r="C470" s="5">
        <v>0.46800000000000003</v>
      </c>
      <c r="D470" s="6" t="s">
        <v>6208</v>
      </c>
    </row>
    <row r="471" spans="1:4" x14ac:dyDescent="0.25">
      <c r="A471" s="7" t="s">
        <v>5144</v>
      </c>
      <c r="B471" s="8" t="s">
        <v>5145</v>
      </c>
      <c r="C471" s="8">
        <v>0.46899999999999997</v>
      </c>
      <c r="D471" s="16" t="s">
        <v>6208</v>
      </c>
    </row>
    <row r="472" spans="1:4" x14ac:dyDescent="0.25">
      <c r="A472" s="4" t="s">
        <v>5146</v>
      </c>
      <c r="B472" s="5" t="s">
        <v>5147</v>
      </c>
      <c r="C472" s="5">
        <v>0.47</v>
      </c>
      <c r="D472" s="6" t="s">
        <v>6208</v>
      </c>
    </row>
    <row r="473" spans="1:4" x14ac:dyDescent="0.25">
      <c r="A473" s="7" t="s">
        <v>5148</v>
      </c>
      <c r="B473" s="8" t="s">
        <v>5149</v>
      </c>
      <c r="C473" s="8">
        <v>0.47099999999999997</v>
      </c>
      <c r="D473" s="16" t="s">
        <v>6208</v>
      </c>
    </row>
    <row r="474" spans="1:4" x14ac:dyDescent="0.25">
      <c r="A474" s="4" t="s">
        <v>5150</v>
      </c>
      <c r="B474" s="5" t="s">
        <v>5151</v>
      </c>
      <c r="C474" s="5">
        <v>0.47199999999999998</v>
      </c>
      <c r="D474" s="6" t="s">
        <v>6208</v>
      </c>
    </row>
    <row r="475" spans="1:4" x14ac:dyDescent="0.25">
      <c r="A475" s="7" t="s">
        <v>5152</v>
      </c>
      <c r="B475" s="8" t="s">
        <v>5153</v>
      </c>
      <c r="C475" s="8">
        <v>0.47299999999999998</v>
      </c>
      <c r="D475" s="16" t="s">
        <v>6208</v>
      </c>
    </row>
    <row r="476" spans="1:4" x14ac:dyDescent="0.25">
      <c r="A476" s="4" t="s">
        <v>5154</v>
      </c>
      <c r="B476" s="5" t="s">
        <v>5155</v>
      </c>
      <c r="C476" s="5">
        <v>0.47399999999999998</v>
      </c>
      <c r="D476" s="6" t="s">
        <v>6208</v>
      </c>
    </row>
    <row r="477" spans="1:4" x14ac:dyDescent="0.25">
      <c r="A477" s="7" t="s">
        <v>5156</v>
      </c>
      <c r="B477" s="8" t="s">
        <v>5157</v>
      </c>
      <c r="C477" s="8">
        <v>0.47499999999999998</v>
      </c>
      <c r="D477" s="16" t="s">
        <v>6208</v>
      </c>
    </row>
    <row r="478" spans="1:4" x14ac:dyDescent="0.25">
      <c r="A478" s="4" t="s">
        <v>5158</v>
      </c>
      <c r="B478" s="5" t="s">
        <v>5159</v>
      </c>
      <c r="C478" s="5">
        <v>0.47599999999999998</v>
      </c>
      <c r="D478" s="6" t="s">
        <v>6208</v>
      </c>
    </row>
    <row r="479" spans="1:4" x14ac:dyDescent="0.25">
      <c r="A479" s="7" t="s">
        <v>5160</v>
      </c>
      <c r="B479" s="8" t="s">
        <v>5161</v>
      </c>
      <c r="C479" s="8">
        <v>0.47699999999999998</v>
      </c>
      <c r="D479" s="16" t="s">
        <v>6208</v>
      </c>
    </row>
    <row r="480" spans="1:4" x14ac:dyDescent="0.25">
      <c r="A480" s="4" t="s">
        <v>5162</v>
      </c>
      <c r="B480" s="5" t="s">
        <v>5163</v>
      </c>
      <c r="C480" s="5">
        <v>0.47799999999999998</v>
      </c>
      <c r="D480" s="6" t="s">
        <v>6208</v>
      </c>
    </row>
    <row r="481" spans="1:4" x14ac:dyDescent="0.25">
      <c r="A481" s="7" t="s">
        <v>5164</v>
      </c>
      <c r="B481" s="8" t="s">
        <v>5165</v>
      </c>
      <c r="C481" s="8">
        <v>0.47899999999999998</v>
      </c>
      <c r="D481" s="16" t="s">
        <v>6208</v>
      </c>
    </row>
    <row r="482" spans="1:4" x14ac:dyDescent="0.25">
      <c r="A482" s="4" t="s">
        <v>5166</v>
      </c>
      <c r="B482" s="5" t="s">
        <v>5167</v>
      </c>
      <c r="C482" s="5">
        <v>0.48</v>
      </c>
      <c r="D482" s="6" t="s">
        <v>6208</v>
      </c>
    </row>
    <row r="483" spans="1:4" x14ac:dyDescent="0.25">
      <c r="A483" s="7" t="s">
        <v>5168</v>
      </c>
      <c r="B483" s="8" t="s">
        <v>5169</v>
      </c>
      <c r="C483" s="8">
        <v>0.48099999999999998</v>
      </c>
      <c r="D483" s="16" t="s">
        <v>6208</v>
      </c>
    </row>
    <row r="484" spans="1:4" x14ac:dyDescent="0.25">
      <c r="A484" s="4" t="s">
        <v>5170</v>
      </c>
      <c r="B484" s="5" t="s">
        <v>5171</v>
      </c>
      <c r="C484" s="5">
        <v>0.48199999999999998</v>
      </c>
      <c r="D484" s="6" t="s">
        <v>6208</v>
      </c>
    </row>
    <row r="485" spans="1:4" x14ac:dyDescent="0.25">
      <c r="A485" s="7" t="s">
        <v>5172</v>
      </c>
      <c r="B485" s="8" t="s">
        <v>5173</v>
      </c>
      <c r="C485" s="8">
        <v>0.48299999999999998</v>
      </c>
      <c r="D485" s="16" t="s">
        <v>6208</v>
      </c>
    </row>
    <row r="486" spans="1:4" x14ac:dyDescent="0.25">
      <c r="A486" s="4" t="s">
        <v>5174</v>
      </c>
      <c r="B486" s="5" t="s">
        <v>5175</v>
      </c>
      <c r="C486" s="5">
        <v>0.48399999999999999</v>
      </c>
      <c r="D486" s="6" t="s">
        <v>6208</v>
      </c>
    </row>
    <row r="487" spans="1:4" x14ac:dyDescent="0.25">
      <c r="A487" s="7" t="s">
        <v>5176</v>
      </c>
      <c r="B487" s="8" t="s">
        <v>5177</v>
      </c>
      <c r="C487" s="8">
        <v>0.48499999999999999</v>
      </c>
      <c r="D487" s="16" t="s">
        <v>6208</v>
      </c>
    </row>
    <row r="488" spans="1:4" x14ac:dyDescent="0.25">
      <c r="A488" s="4" t="s">
        <v>5178</v>
      </c>
      <c r="B488" s="5" t="s">
        <v>5179</v>
      </c>
      <c r="C488" s="5">
        <v>0.48599999999999999</v>
      </c>
      <c r="D488" s="6" t="s">
        <v>6208</v>
      </c>
    </row>
    <row r="489" spans="1:4" x14ac:dyDescent="0.25">
      <c r="A489" s="7" t="s">
        <v>5180</v>
      </c>
      <c r="B489" s="8" t="s">
        <v>5181</v>
      </c>
      <c r="C489" s="8">
        <v>0.48699999999999999</v>
      </c>
      <c r="D489" s="16" t="s">
        <v>6208</v>
      </c>
    </row>
    <row r="490" spans="1:4" x14ac:dyDescent="0.25">
      <c r="A490" s="4" t="s">
        <v>5182</v>
      </c>
      <c r="B490" s="5" t="s">
        <v>5183</v>
      </c>
      <c r="C490" s="5">
        <v>0.48799999999999999</v>
      </c>
      <c r="D490" s="6" t="s">
        <v>6208</v>
      </c>
    </row>
    <row r="491" spans="1:4" x14ac:dyDescent="0.25">
      <c r="A491" s="7" t="s">
        <v>5184</v>
      </c>
      <c r="B491" s="8" t="s">
        <v>5185</v>
      </c>
      <c r="C491" s="8">
        <v>0.48899999999999999</v>
      </c>
      <c r="D491" s="16" t="s">
        <v>6208</v>
      </c>
    </row>
    <row r="492" spans="1:4" x14ac:dyDescent="0.25">
      <c r="A492" s="4" t="s">
        <v>5186</v>
      </c>
      <c r="B492" s="5" t="s">
        <v>5187</v>
      </c>
      <c r="C492" s="5">
        <v>0.49</v>
      </c>
      <c r="D492" s="6" t="s">
        <v>6208</v>
      </c>
    </row>
    <row r="493" spans="1:4" x14ac:dyDescent="0.25">
      <c r="A493" s="7" t="s">
        <v>5188</v>
      </c>
      <c r="B493" s="8" t="s">
        <v>5189</v>
      </c>
      <c r="C493" s="8">
        <v>0.49099999999999999</v>
      </c>
      <c r="D493" s="16" t="s">
        <v>6208</v>
      </c>
    </row>
    <row r="494" spans="1:4" x14ac:dyDescent="0.25">
      <c r="A494" s="4" t="s">
        <v>5190</v>
      </c>
      <c r="B494" s="5" t="s">
        <v>5191</v>
      </c>
      <c r="C494" s="5">
        <v>0.49199999999999999</v>
      </c>
      <c r="D494" s="6" t="s">
        <v>6208</v>
      </c>
    </row>
    <row r="495" spans="1:4" x14ac:dyDescent="0.25">
      <c r="A495" s="7" t="s">
        <v>5192</v>
      </c>
      <c r="B495" s="8" t="s">
        <v>5193</v>
      </c>
      <c r="C495" s="8">
        <v>0.49299999999999999</v>
      </c>
      <c r="D495" s="16" t="s">
        <v>6208</v>
      </c>
    </row>
    <row r="496" spans="1:4" x14ac:dyDescent="0.25">
      <c r="A496" s="4" t="s">
        <v>5194</v>
      </c>
      <c r="B496" s="5" t="s">
        <v>5195</v>
      </c>
      <c r="C496" s="5">
        <v>0.49399999999999999</v>
      </c>
      <c r="D496" s="6" t="s">
        <v>6208</v>
      </c>
    </row>
    <row r="497" spans="1:4" x14ac:dyDescent="0.25">
      <c r="A497" s="7" t="s">
        <v>5196</v>
      </c>
      <c r="B497" s="8" t="s">
        <v>5197</v>
      </c>
      <c r="C497" s="8">
        <v>0.495</v>
      </c>
      <c r="D497" s="16" t="s">
        <v>6208</v>
      </c>
    </row>
    <row r="498" spans="1:4" x14ac:dyDescent="0.25">
      <c r="A498" s="4" t="s">
        <v>5198</v>
      </c>
      <c r="B498" s="5" t="s">
        <v>5199</v>
      </c>
      <c r="C498" s="5">
        <v>0.496</v>
      </c>
      <c r="D498" s="6" t="s">
        <v>6208</v>
      </c>
    </row>
    <row r="499" spans="1:4" x14ac:dyDescent="0.25">
      <c r="A499" s="7" t="s">
        <v>5200</v>
      </c>
      <c r="B499" s="8" t="s">
        <v>5201</v>
      </c>
      <c r="C499" s="8">
        <v>0.497</v>
      </c>
      <c r="D499" s="16" t="s">
        <v>6208</v>
      </c>
    </row>
    <row r="500" spans="1:4" x14ac:dyDescent="0.25">
      <c r="A500" s="4" t="s">
        <v>5202</v>
      </c>
      <c r="B500" s="5" t="s">
        <v>5203</v>
      </c>
      <c r="C500" s="5">
        <v>0.498</v>
      </c>
      <c r="D500" s="6" t="s">
        <v>6208</v>
      </c>
    </row>
    <row r="501" spans="1:4" x14ac:dyDescent="0.25">
      <c r="A501" s="7" t="s">
        <v>5204</v>
      </c>
      <c r="B501" s="8" t="s">
        <v>5205</v>
      </c>
      <c r="C501" s="8">
        <v>0.499</v>
      </c>
      <c r="D501" s="16" t="s">
        <v>6208</v>
      </c>
    </row>
    <row r="502" spans="1:4" x14ac:dyDescent="0.25">
      <c r="A502" s="4" t="s">
        <v>5206</v>
      </c>
      <c r="B502" s="5" t="s">
        <v>5207</v>
      </c>
      <c r="C502" s="5">
        <v>0.5</v>
      </c>
      <c r="D502" s="6" t="s">
        <v>6208</v>
      </c>
    </row>
    <row r="503" spans="1:4" x14ac:dyDescent="0.25">
      <c r="A503" s="7" t="s">
        <v>5208</v>
      </c>
      <c r="B503" s="8" t="s">
        <v>5209</v>
      </c>
      <c r="C503" s="8">
        <v>0.501</v>
      </c>
      <c r="D503" s="16" t="s">
        <v>6208</v>
      </c>
    </row>
    <row r="504" spans="1:4" x14ac:dyDescent="0.25">
      <c r="A504" s="4" t="s">
        <v>5210</v>
      </c>
      <c r="B504" s="5" t="s">
        <v>5211</v>
      </c>
      <c r="C504" s="5">
        <v>0.502</v>
      </c>
      <c r="D504" s="6" t="s">
        <v>6208</v>
      </c>
    </row>
    <row r="505" spans="1:4" x14ac:dyDescent="0.25">
      <c r="A505" s="7" t="s">
        <v>5212</v>
      </c>
      <c r="B505" s="8" t="s">
        <v>5213</v>
      </c>
      <c r="C505" s="8">
        <v>0.503</v>
      </c>
      <c r="D505" s="16" t="s">
        <v>6208</v>
      </c>
    </row>
    <row r="506" spans="1:4" x14ac:dyDescent="0.25">
      <c r="A506" s="4" t="s">
        <v>5214</v>
      </c>
      <c r="B506" s="5" t="s">
        <v>5215</v>
      </c>
      <c r="C506" s="5">
        <v>0.504</v>
      </c>
      <c r="D506" s="6" t="s">
        <v>6208</v>
      </c>
    </row>
    <row r="507" spans="1:4" x14ac:dyDescent="0.25">
      <c r="A507" s="7" t="s">
        <v>5216</v>
      </c>
      <c r="B507" s="8" t="s">
        <v>5217</v>
      </c>
      <c r="C507" s="8">
        <v>0.505</v>
      </c>
      <c r="D507" s="16" t="s">
        <v>6208</v>
      </c>
    </row>
    <row r="508" spans="1:4" x14ac:dyDescent="0.25">
      <c r="A508" s="4" t="s">
        <v>5218</v>
      </c>
      <c r="B508" s="5" t="s">
        <v>5219</v>
      </c>
      <c r="C508" s="5">
        <v>0.50600000000000001</v>
      </c>
      <c r="D508" s="6" t="s">
        <v>6208</v>
      </c>
    </row>
    <row r="509" spans="1:4" x14ac:dyDescent="0.25">
      <c r="A509" s="7" t="s">
        <v>5220</v>
      </c>
      <c r="B509" s="8" t="s">
        <v>5221</v>
      </c>
      <c r="C509" s="8">
        <v>0.50700000000000001</v>
      </c>
      <c r="D509" s="16" t="s">
        <v>6208</v>
      </c>
    </row>
    <row r="510" spans="1:4" x14ac:dyDescent="0.25">
      <c r="A510" s="4" t="s">
        <v>5222</v>
      </c>
      <c r="B510" s="5" t="s">
        <v>5223</v>
      </c>
      <c r="C510" s="5">
        <v>0.50800000000000001</v>
      </c>
      <c r="D510" s="6" t="s">
        <v>6208</v>
      </c>
    </row>
    <row r="511" spans="1:4" x14ac:dyDescent="0.25">
      <c r="A511" s="7" t="s">
        <v>5224</v>
      </c>
      <c r="B511" s="8" t="s">
        <v>5225</v>
      </c>
      <c r="C511" s="8">
        <v>0.50900000000000001</v>
      </c>
      <c r="D511" s="16" t="s">
        <v>6208</v>
      </c>
    </row>
    <row r="512" spans="1:4" x14ac:dyDescent="0.25">
      <c r="A512" s="4" t="s">
        <v>5226</v>
      </c>
      <c r="B512" s="5" t="s">
        <v>5227</v>
      </c>
      <c r="C512" s="5">
        <v>0.51</v>
      </c>
      <c r="D512" s="6" t="s">
        <v>6208</v>
      </c>
    </row>
    <row r="513" spans="1:4" x14ac:dyDescent="0.25">
      <c r="A513" s="7" t="s">
        <v>5228</v>
      </c>
      <c r="B513" s="8" t="s">
        <v>5229</v>
      </c>
      <c r="C513" s="8">
        <v>0.51100000000000001</v>
      </c>
      <c r="D513" s="16" t="s">
        <v>6208</v>
      </c>
    </row>
    <row r="514" spans="1:4" x14ac:dyDescent="0.25">
      <c r="A514" s="4" t="s">
        <v>5230</v>
      </c>
      <c r="B514" s="5" t="s">
        <v>5231</v>
      </c>
      <c r="C514" s="5">
        <v>0.51200000000000001</v>
      </c>
      <c r="D514" s="6" t="s">
        <v>6208</v>
      </c>
    </row>
    <row r="515" spans="1:4" x14ac:dyDescent="0.25">
      <c r="A515" s="7" t="s">
        <v>5232</v>
      </c>
      <c r="B515" s="8" t="s">
        <v>5233</v>
      </c>
      <c r="C515" s="8">
        <v>0.51300000000000001</v>
      </c>
      <c r="D515" s="16" t="s">
        <v>6208</v>
      </c>
    </row>
    <row r="516" spans="1:4" x14ac:dyDescent="0.25">
      <c r="A516" s="4" t="s">
        <v>5234</v>
      </c>
      <c r="B516" s="5" t="s">
        <v>5235</v>
      </c>
      <c r="C516" s="5">
        <v>0.51400000000000001</v>
      </c>
      <c r="D516" s="6" t="s">
        <v>6208</v>
      </c>
    </row>
    <row r="517" spans="1:4" x14ac:dyDescent="0.25">
      <c r="A517" s="7" t="s">
        <v>5236</v>
      </c>
      <c r="B517" s="8" t="s">
        <v>5237</v>
      </c>
      <c r="C517" s="8">
        <v>0.51500000000000001</v>
      </c>
      <c r="D517" s="16" t="s">
        <v>6208</v>
      </c>
    </row>
    <row r="518" spans="1:4" x14ac:dyDescent="0.25">
      <c r="A518" s="4" t="s">
        <v>5238</v>
      </c>
      <c r="B518" s="5" t="s">
        <v>5239</v>
      </c>
      <c r="C518" s="5">
        <v>0.51600000000000001</v>
      </c>
      <c r="D518" s="6" t="s">
        <v>6208</v>
      </c>
    </row>
    <row r="519" spans="1:4" x14ac:dyDescent="0.25">
      <c r="A519" s="7" t="s">
        <v>5240</v>
      </c>
      <c r="B519" s="8" t="s">
        <v>5241</v>
      </c>
      <c r="C519" s="8">
        <v>0.51700000000000002</v>
      </c>
      <c r="D519" s="16" t="s">
        <v>6208</v>
      </c>
    </row>
    <row r="520" spans="1:4" x14ac:dyDescent="0.25">
      <c r="A520" s="4" t="s">
        <v>5242</v>
      </c>
      <c r="B520" s="5" t="s">
        <v>5243</v>
      </c>
      <c r="C520" s="5">
        <v>0.51800000000000002</v>
      </c>
      <c r="D520" s="6" t="s">
        <v>6208</v>
      </c>
    </row>
    <row r="521" spans="1:4" x14ac:dyDescent="0.25">
      <c r="A521" s="7" t="s">
        <v>5244</v>
      </c>
      <c r="B521" s="8" t="s">
        <v>5245</v>
      </c>
      <c r="C521" s="8">
        <v>0.51900000000000002</v>
      </c>
      <c r="D521" s="16" t="s">
        <v>6208</v>
      </c>
    </row>
    <row r="522" spans="1:4" x14ac:dyDescent="0.25">
      <c r="A522" s="4" t="s">
        <v>5246</v>
      </c>
      <c r="B522" s="5" t="s">
        <v>5247</v>
      </c>
      <c r="C522" s="5">
        <v>0.52</v>
      </c>
      <c r="D522" s="6" t="s">
        <v>6208</v>
      </c>
    </row>
    <row r="523" spans="1:4" x14ac:dyDescent="0.25">
      <c r="A523" s="7" t="s">
        <v>5248</v>
      </c>
      <c r="B523" s="8" t="s">
        <v>5249</v>
      </c>
      <c r="C523" s="8">
        <v>0.52100000000000002</v>
      </c>
      <c r="D523" s="16" t="s">
        <v>6208</v>
      </c>
    </row>
    <row r="524" spans="1:4" x14ac:dyDescent="0.25">
      <c r="A524" s="4" t="s">
        <v>5250</v>
      </c>
      <c r="B524" s="5" t="s">
        <v>5251</v>
      </c>
      <c r="C524" s="5">
        <v>0.52200000000000002</v>
      </c>
      <c r="D524" s="6" t="s">
        <v>6208</v>
      </c>
    </row>
    <row r="525" spans="1:4" x14ac:dyDescent="0.25">
      <c r="A525" s="7" t="s">
        <v>5252</v>
      </c>
      <c r="B525" s="8" t="s">
        <v>5253</v>
      </c>
      <c r="C525" s="8">
        <v>0.52300000000000002</v>
      </c>
      <c r="D525" s="16" t="s">
        <v>6208</v>
      </c>
    </row>
    <row r="526" spans="1:4" x14ac:dyDescent="0.25">
      <c r="A526" s="4" t="s">
        <v>5254</v>
      </c>
      <c r="B526" s="5" t="s">
        <v>5255</v>
      </c>
      <c r="C526" s="5">
        <v>0.52400000000000002</v>
      </c>
      <c r="D526" s="6" t="s">
        <v>6208</v>
      </c>
    </row>
    <row r="527" spans="1:4" x14ac:dyDescent="0.25">
      <c r="A527" s="7" t="s">
        <v>5256</v>
      </c>
      <c r="B527" s="8" t="s">
        <v>5257</v>
      </c>
      <c r="C527" s="8">
        <v>0.52500000000000002</v>
      </c>
      <c r="D527" s="16" t="s">
        <v>6208</v>
      </c>
    </row>
    <row r="528" spans="1:4" x14ac:dyDescent="0.25">
      <c r="A528" s="4" t="s">
        <v>5258</v>
      </c>
      <c r="B528" s="5" t="s">
        <v>5259</v>
      </c>
      <c r="C528" s="5">
        <v>0.52600000000000002</v>
      </c>
      <c r="D528" s="6" t="s">
        <v>6208</v>
      </c>
    </row>
    <row r="529" spans="1:4" x14ac:dyDescent="0.25">
      <c r="A529" s="7" t="s">
        <v>5260</v>
      </c>
      <c r="B529" s="8" t="s">
        <v>5261</v>
      </c>
      <c r="C529" s="8">
        <v>0.52700000000000002</v>
      </c>
      <c r="D529" s="16" t="s">
        <v>6208</v>
      </c>
    </row>
    <row r="530" spans="1:4" x14ac:dyDescent="0.25">
      <c r="A530" s="4" t="s">
        <v>5262</v>
      </c>
      <c r="B530" s="5" t="s">
        <v>5263</v>
      </c>
      <c r="C530" s="5">
        <v>0.52800000000000002</v>
      </c>
      <c r="D530" s="6" t="s">
        <v>6208</v>
      </c>
    </row>
    <row r="531" spans="1:4" x14ac:dyDescent="0.25">
      <c r="A531" s="7" t="s">
        <v>5264</v>
      </c>
      <c r="B531" s="8" t="s">
        <v>5265</v>
      </c>
      <c r="C531" s="8">
        <v>0.52900000000000003</v>
      </c>
      <c r="D531" s="16" t="s">
        <v>6208</v>
      </c>
    </row>
    <row r="532" spans="1:4" x14ac:dyDescent="0.25">
      <c r="A532" s="4" t="s">
        <v>5266</v>
      </c>
      <c r="B532" s="5" t="s">
        <v>5267</v>
      </c>
      <c r="C532" s="5">
        <v>0.53</v>
      </c>
      <c r="D532" s="6" t="s">
        <v>6208</v>
      </c>
    </row>
    <row r="533" spans="1:4" x14ac:dyDescent="0.25">
      <c r="A533" s="7" t="s">
        <v>5268</v>
      </c>
      <c r="B533" s="8" t="s">
        <v>5269</v>
      </c>
      <c r="C533" s="8">
        <v>0.53100000000000003</v>
      </c>
      <c r="D533" s="16" t="s">
        <v>6208</v>
      </c>
    </row>
    <row r="534" spans="1:4" x14ac:dyDescent="0.25">
      <c r="A534" s="4" t="s">
        <v>5270</v>
      </c>
      <c r="B534" s="5" t="s">
        <v>5271</v>
      </c>
      <c r="C534" s="5">
        <v>0.53200000000000003</v>
      </c>
      <c r="D534" s="6" t="s">
        <v>6208</v>
      </c>
    </row>
    <row r="535" spans="1:4" x14ac:dyDescent="0.25">
      <c r="A535" s="7" t="s">
        <v>5272</v>
      </c>
      <c r="B535" s="8" t="s">
        <v>5273</v>
      </c>
      <c r="C535" s="8">
        <v>0.53300000000000003</v>
      </c>
      <c r="D535" s="16" t="s">
        <v>6208</v>
      </c>
    </row>
    <row r="536" spans="1:4" x14ac:dyDescent="0.25">
      <c r="A536" s="4" t="s">
        <v>5274</v>
      </c>
      <c r="B536" s="5" t="s">
        <v>5275</v>
      </c>
      <c r="C536" s="5">
        <v>0.53400000000000003</v>
      </c>
      <c r="D536" s="6" t="s">
        <v>6208</v>
      </c>
    </row>
    <row r="537" spans="1:4" x14ac:dyDescent="0.25">
      <c r="A537" s="7" t="s">
        <v>5276</v>
      </c>
      <c r="B537" s="8" t="s">
        <v>5277</v>
      </c>
      <c r="C537" s="8">
        <v>0.53500000000000003</v>
      </c>
      <c r="D537" s="16" t="s">
        <v>6208</v>
      </c>
    </row>
    <row r="538" spans="1:4" x14ac:dyDescent="0.25">
      <c r="A538" s="4" t="s">
        <v>5278</v>
      </c>
      <c r="B538" s="5" t="s">
        <v>5279</v>
      </c>
      <c r="C538" s="5">
        <v>0.53600000000000003</v>
      </c>
      <c r="D538" s="6" t="s">
        <v>6208</v>
      </c>
    </row>
    <row r="539" spans="1:4" x14ac:dyDescent="0.25">
      <c r="A539" s="7" t="s">
        <v>5280</v>
      </c>
      <c r="B539" s="8" t="s">
        <v>5281</v>
      </c>
      <c r="C539" s="8">
        <v>0.53700000000000003</v>
      </c>
      <c r="D539" s="16" t="s">
        <v>6208</v>
      </c>
    </row>
    <row r="540" spans="1:4" x14ac:dyDescent="0.25">
      <c r="A540" s="4" t="s">
        <v>5282</v>
      </c>
      <c r="B540" s="5" t="s">
        <v>5283</v>
      </c>
      <c r="C540" s="5">
        <v>0.53800000000000003</v>
      </c>
      <c r="D540" s="6" t="s">
        <v>6208</v>
      </c>
    </row>
    <row r="541" spans="1:4" x14ac:dyDescent="0.25">
      <c r="A541" s="7" t="s">
        <v>5284</v>
      </c>
      <c r="B541" s="8" t="s">
        <v>5285</v>
      </c>
      <c r="C541" s="8">
        <v>0.53900000000000003</v>
      </c>
      <c r="D541" s="16" t="s">
        <v>6208</v>
      </c>
    </row>
    <row r="542" spans="1:4" x14ac:dyDescent="0.25">
      <c r="A542" s="4" t="s">
        <v>5286</v>
      </c>
      <c r="B542" s="5" t="s">
        <v>5287</v>
      </c>
      <c r="C542" s="5">
        <v>0.54</v>
      </c>
      <c r="D542" s="6" t="s">
        <v>6208</v>
      </c>
    </row>
    <row r="543" spans="1:4" x14ac:dyDescent="0.25">
      <c r="A543" s="7" t="s">
        <v>5288</v>
      </c>
      <c r="B543" s="8" t="s">
        <v>5289</v>
      </c>
      <c r="C543" s="8">
        <v>0.54100000000000004</v>
      </c>
      <c r="D543" s="16" t="s">
        <v>6208</v>
      </c>
    </row>
    <row r="544" spans="1:4" x14ac:dyDescent="0.25">
      <c r="A544" s="4" t="s">
        <v>5290</v>
      </c>
      <c r="B544" s="5" t="s">
        <v>5291</v>
      </c>
      <c r="C544" s="5">
        <v>0.54200000000000004</v>
      </c>
      <c r="D544" s="6" t="s">
        <v>6208</v>
      </c>
    </row>
    <row r="545" spans="1:4" x14ac:dyDescent="0.25">
      <c r="A545" s="7" t="s">
        <v>5292</v>
      </c>
      <c r="B545" s="8" t="s">
        <v>5293</v>
      </c>
      <c r="C545" s="8">
        <v>0.54300000000000004</v>
      </c>
      <c r="D545" s="16" t="s">
        <v>6208</v>
      </c>
    </row>
    <row r="546" spans="1:4" x14ac:dyDescent="0.25">
      <c r="A546" s="4" t="s">
        <v>5294</v>
      </c>
      <c r="B546" s="5" t="s">
        <v>5295</v>
      </c>
      <c r="C546" s="5">
        <v>0.54400000000000004</v>
      </c>
      <c r="D546" s="6" t="s">
        <v>6208</v>
      </c>
    </row>
    <row r="547" spans="1:4" x14ac:dyDescent="0.25">
      <c r="A547" s="7" t="s">
        <v>5296</v>
      </c>
      <c r="B547" s="8" t="s">
        <v>5297</v>
      </c>
      <c r="C547" s="8">
        <v>0.54500000000000004</v>
      </c>
      <c r="D547" s="16" t="s">
        <v>6208</v>
      </c>
    </row>
    <row r="548" spans="1:4" x14ac:dyDescent="0.25">
      <c r="A548" s="4" t="s">
        <v>5298</v>
      </c>
      <c r="B548" s="5" t="s">
        <v>5299</v>
      </c>
      <c r="C548" s="5">
        <v>0.54600000000000004</v>
      </c>
      <c r="D548" s="6" t="s">
        <v>6208</v>
      </c>
    </row>
    <row r="549" spans="1:4" x14ac:dyDescent="0.25">
      <c r="A549" s="7" t="s">
        <v>5300</v>
      </c>
      <c r="B549" s="8" t="s">
        <v>5301</v>
      </c>
      <c r="C549" s="8">
        <v>0.54700000000000004</v>
      </c>
      <c r="D549" s="16" t="s">
        <v>6208</v>
      </c>
    </row>
    <row r="550" spans="1:4" x14ac:dyDescent="0.25">
      <c r="A550" s="4" t="s">
        <v>5302</v>
      </c>
      <c r="B550" s="5" t="s">
        <v>5303</v>
      </c>
      <c r="C550" s="5">
        <v>0.54800000000000004</v>
      </c>
      <c r="D550" s="6" t="s">
        <v>6208</v>
      </c>
    </row>
    <row r="551" spans="1:4" x14ac:dyDescent="0.25">
      <c r="A551" s="7" t="s">
        <v>5304</v>
      </c>
      <c r="B551" s="8" t="s">
        <v>5305</v>
      </c>
      <c r="C551" s="8">
        <v>0.54900000000000004</v>
      </c>
      <c r="D551" s="16" t="s">
        <v>6208</v>
      </c>
    </row>
    <row r="552" spans="1:4" x14ac:dyDescent="0.25">
      <c r="A552" s="4" t="s">
        <v>5306</v>
      </c>
      <c r="B552" s="5" t="s">
        <v>5307</v>
      </c>
      <c r="C552" s="5">
        <v>0.55000000000000004</v>
      </c>
      <c r="D552" s="6" t="s">
        <v>6208</v>
      </c>
    </row>
    <row r="553" spans="1:4" x14ac:dyDescent="0.25">
      <c r="A553" s="7" t="s">
        <v>5308</v>
      </c>
      <c r="B553" s="8" t="s">
        <v>5309</v>
      </c>
      <c r="C553" s="8">
        <v>0.55100000000000005</v>
      </c>
      <c r="D553" s="16" t="s">
        <v>6208</v>
      </c>
    </row>
    <row r="554" spans="1:4" x14ac:dyDescent="0.25">
      <c r="A554" s="4" t="s">
        <v>5310</v>
      </c>
      <c r="B554" s="5" t="s">
        <v>5311</v>
      </c>
      <c r="C554" s="5">
        <v>0.55200000000000005</v>
      </c>
      <c r="D554" s="6" t="s">
        <v>6208</v>
      </c>
    </row>
    <row r="555" spans="1:4" x14ac:dyDescent="0.25">
      <c r="A555" s="7" t="s">
        <v>5312</v>
      </c>
      <c r="B555" s="8" t="s">
        <v>5313</v>
      </c>
      <c r="C555" s="8">
        <v>0.55300000000000005</v>
      </c>
      <c r="D555" s="16" t="s">
        <v>6208</v>
      </c>
    </row>
    <row r="556" spans="1:4" x14ac:dyDescent="0.25">
      <c r="A556" s="4" t="s">
        <v>5314</v>
      </c>
      <c r="B556" s="5" t="s">
        <v>5315</v>
      </c>
      <c r="C556" s="5">
        <v>0.55400000000000005</v>
      </c>
      <c r="D556" s="6" t="s">
        <v>6208</v>
      </c>
    </row>
    <row r="557" spans="1:4" x14ac:dyDescent="0.25">
      <c r="A557" s="7" t="s">
        <v>5316</v>
      </c>
      <c r="B557" s="8" t="s">
        <v>5317</v>
      </c>
      <c r="C557" s="8">
        <v>0.55500000000000005</v>
      </c>
      <c r="D557" s="16" t="s">
        <v>6208</v>
      </c>
    </row>
    <row r="558" spans="1:4" x14ac:dyDescent="0.25">
      <c r="A558" s="4" t="s">
        <v>5318</v>
      </c>
      <c r="B558" s="5" t="s">
        <v>5319</v>
      </c>
      <c r="C558" s="5">
        <v>0.55600000000000005</v>
      </c>
      <c r="D558" s="6" t="s">
        <v>6208</v>
      </c>
    </row>
    <row r="559" spans="1:4" x14ac:dyDescent="0.25">
      <c r="A559" s="7" t="s">
        <v>5320</v>
      </c>
      <c r="B559" s="8" t="s">
        <v>5321</v>
      </c>
      <c r="C559" s="8">
        <v>0.55700000000000005</v>
      </c>
      <c r="D559" s="16" t="s">
        <v>6208</v>
      </c>
    </row>
    <row r="560" spans="1:4" x14ac:dyDescent="0.25">
      <c r="A560" s="4" t="s">
        <v>5322</v>
      </c>
      <c r="B560" s="5" t="s">
        <v>5323</v>
      </c>
      <c r="C560" s="5">
        <v>0.55800000000000005</v>
      </c>
      <c r="D560" s="6" t="s">
        <v>6208</v>
      </c>
    </row>
    <row r="561" spans="1:4" x14ac:dyDescent="0.25">
      <c r="A561" s="7" t="s">
        <v>5324</v>
      </c>
      <c r="B561" s="8" t="s">
        <v>5325</v>
      </c>
      <c r="C561" s="8">
        <v>0.55900000000000005</v>
      </c>
      <c r="D561" s="16" t="s">
        <v>6208</v>
      </c>
    </row>
    <row r="562" spans="1:4" x14ac:dyDescent="0.25">
      <c r="A562" s="4" t="s">
        <v>5326</v>
      </c>
      <c r="B562" s="5" t="s">
        <v>5327</v>
      </c>
      <c r="C562" s="5">
        <v>0.56000000000000005</v>
      </c>
      <c r="D562" s="6" t="s">
        <v>6208</v>
      </c>
    </row>
    <row r="563" spans="1:4" x14ac:dyDescent="0.25">
      <c r="A563" s="7" t="s">
        <v>5328</v>
      </c>
      <c r="B563" s="8" t="s">
        <v>5329</v>
      </c>
      <c r="C563" s="8">
        <v>0.56100000000000005</v>
      </c>
      <c r="D563" s="16" t="s">
        <v>6208</v>
      </c>
    </row>
    <row r="564" spans="1:4" x14ac:dyDescent="0.25">
      <c r="A564" s="4" t="s">
        <v>5330</v>
      </c>
      <c r="B564" s="5" t="s">
        <v>5331</v>
      </c>
      <c r="C564" s="5">
        <v>0.56200000000000006</v>
      </c>
      <c r="D564" s="6" t="s">
        <v>6208</v>
      </c>
    </row>
    <row r="565" spans="1:4" x14ac:dyDescent="0.25">
      <c r="A565" s="7" t="s">
        <v>5332</v>
      </c>
      <c r="B565" s="8" t="s">
        <v>5333</v>
      </c>
      <c r="C565" s="8">
        <v>0.56299999999999994</v>
      </c>
      <c r="D565" s="16" t="s">
        <v>6208</v>
      </c>
    </row>
    <row r="566" spans="1:4" x14ac:dyDescent="0.25">
      <c r="A566" s="4" t="s">
        <v>5334</v>
      </c>
      <c r="B566" s="5" t="s">
        <v>5335</v>
      </c>
      <c r="C566" s="5">
        <v>0.56399999999999995</v>
      </c>
      <c r="D566" s="6" t="s">
        <v>6208</v>
      </c>
    </row>
    <row r="567" spans="1:4" x14ac:dyDescent="0.25">
      <c r="A567" s="7" t="s">
        <v>5336</v>
      </c>
      <c r="B567" s="8" t="s">
        <v>5337</v>
      </c>
      <c r="C567" s="8">
        <v>0.56499999999999995</v>
      </c>
      <c r="D567" s="16" t="s">
        <v>6208</v>
      </c>
    </row>
    <row r="568" spans="1:4" x14ac:dyDescent="0.25">
      <c r="A568" s="4" t="s">
        <v>5338</v>
      </c>
      <c r="B568" s="5" t="s">
        <v>5339</v>
      </c>
      <c r="C568" s="5">
        <v>0.56599999999999995</v>
      </c>
      <c r="D568" s="6" t="s">
        <v>6208</v>
      </c>
    </row>
    <row r="569" spans="1:4" x14ac:dyDescent="0.25">
      <c r="A569" s="7" t="s">
        <v>5340</v>
      </c>
      <c r="B569" s="8" t="s">
        <v>5341</v>
      </c>
      <c r="C569" s="8">
        <v>0.56699999999999995</v>
      </c>
      <c r="D569" s="16" t="s">
        <v>6208</v>
      </c>
    </row>
    <row r="570" spans="1:4" x14ac:dyDescent="0.25">
      <c r="A570" s="4" t="s">
        <v>5342</v>
      </c>
      <c r="B570" s="5" t="s">
        <v>5343</v>
      </c>
      <c r="C570" s="5">
        <v>0.56799999999999995</v>
      </c>
      <c r="D570" s="6" t="s">
        <v>6208</v>
      </c>
    </row>
    <row r="571" spans="1:4" x14ac:dyDescent="0.25">
      <c r="A571" s="7" t="s">
        <v>5344</v>
      </c>
      <c r="B571" s="8" t="s">
        <v>5345</v>
      </c>
      <c r="C571" s="8">
        <v>0.56899999999999995</v>
      </c>
      <c r="D571" s="16" t="s">
        <v>6208</v>
      </c>
    </row>
    <row r="572" spans="1:4" x14ac:dyDescent="0.25">
      <c r="A572" s="4" t="s">
        <v>5346</v>
      </c>
      <c r="B572" s="5" t="s">
        <v>5347</v>
      </c>
      <c r="C572" s="5">
        <v>0.56999999999999995</v>
      </c>
      <c r="D572" s="6" t="s">
        <v>6208</v>
      </c>
    </row>
    <row r="573" spans="1:4" x14ac:dyDescent="0.25">
      <c r="A573" s="7" t="s">
        <v>5348</v>
      </c>
      <c r="B573" s="8" t="s">
        <v>5349</v>
      </c>
      <c r="C573" s="8">
        <v>0.57099999999999995</v>
      </c>
      <c r="D573" s="16" t="s">
        <v>6208</v>
      </c>
    </row>
    <row r="574" spans="1:4" x14ac:dyDescent="0.25">
      <c r="A574" s="4" t="s">
        <v>5350</v>
      </c>
      <c r="B574" s="5" t="s">
        <v>5351</v>
      </c>
      <c r="C574" s="5">
        <v>0.57199999999999995</v>
      </c>
      <c r="D574" s="6" t="s">
        <v>6208</v>
      </c>
    </row>
    <row r="575" spans="1:4" x14ac:dyDescent="0.25">
      <c r="A575" s="7" t="s">
        <v>5352</v>
      </c>
      <c r="B575" s="8" t="s">
        <v>5353</v>
      </c>
      <c r="C575" s="8">
        <v>0.57299999999999995</v>
      </c>
      <c r="D575" s="16" t="s">
        <v>6208</v>
      </c>
    </row>
    <row r="576" spans="1:4" x14ac:dyDescent="0.25">
      <c r="A576" s="4" t="s">
        <v>5354</v>
      </c>
      <c r="B576" s="5" t="s">
        <v>5355</v>
      </c>
      <c r="C576" s="5">
        <v>0.57399999999999995</v>
      </c>
      <c r="D576" s="6" t="s">
        <v>6208</v>
      </c>
    </row>
    <row r="577" spans="1:4" x14ac:dyDescent="0.25">
      <c r="A577" s="7" t="s">
        <v>5356</v>
      </c>
      <c r="B577" s="8" t="s">
        <v>5357</v>
      </c>
      <c r="C577" s="8">
        <v>0.57499999999999996</v>
      </c>
      <c r="D577" s="16" t="s">
        <v>6208</v>
      </c>
    </row>
    <row r="578" spans="1:4" x14ac:dyDescent="0.25">
      <c r="A578" s="4" t="s">
        <v>5358</v>
      </c>
      <c r="B578" s="5" t="s">
        <v>5359</v>
      </c>
      <c r="C578" s="5">
        <v>0.57599999999999996</v>
      </c>
      <c r="D578" s="6" t="s">
        <v>6208</v>
      </c>
    </row>
    <row r="579" spans="1:4" x14ac:dyDescent="0.25">
      <c r="A579" s="7" t="s">
        <v>5360</v>
      </c>
      <c r="B579" s="8" t="s">
        <v>5361</v>
      </c>
      <c r="C579" s="8">
        <v>0.57699999999999996</v>
      </c>
      <c r="D579" s="16" t="s">
        <v>6208</v>
      </c>
    </row>
    <row r="580" spans="1:4" x14ac:dyDescent="0.25">
      <c r="A580" s="4" t="s">
        <v>5362</v>
      </c>
      <c r="B580" s="5" t="s">
        <v>5363</v>
      </c>
      <c r="C580" s="5">
        <v>0.57799999999999996</v>
      </c>
      <c r="D580" s="6" t="s">
        <v>6208</v>
      </c>
    </row>
    <row r="581" spans="1:4" x14ac:dyDescent="0.25">
      <c r="A581" s="7" t="s">
        <v>5364</v>
      </c>
      <c r="B581" s="8" t="s">
        <v>5365</v>
      </c>
      <c r="C581" s="8">
        <v>0.57899999999999996</v>
      </c>
      <c r="D581" s="16" t="s">
        <v>6208</v>
      </c>
    </row>
    <row r="582" spans="1:4" x14ac:dyDescent="0.25">
      <c r="A582" s="4" t="s">
        <v>5366</v>
      </c>
      <c r="B582" s="5" t="s">
        <v>5367</v>
      </c>
      <c r="C582" s="5">
        <v>0.57999999999999996</v>
      </c>
      <c r="D582" s="6" t="s">
        <v>6208</v>
      </c>
    </row>
    <row r="583" spans="1:4" x14ac:dyDescent="0.25">
      <c r="A583" s="7" t="s">
        <v>5368</v>
      </c>
      <c r="B583" s="8" t="s">
        <v>5369</v>
      </c>
      <c r="C583" s="8">
        <v>0.58099999999999996</v>
      </c>
      <c r="D583" s="16" t="s">
        <v>6208</v>
      </c>
    </row>
    <row r="584" spans="1:4" x14ac:dyDescent="0.25">
      <c r="A584" s="4" t="s">
        <v>5370</v>
      </c>
      <c r="B584" s="5" t="s">
        <v>5371</v>
      </c>
      <c r="C584" s="5">
        <v>0.58199999999999996</v>
      </c>
      <c r="D584" s="6" t="s">
        <v>6208</v>
      </c>
    </row>
    <row r="585" spans="1:4" x14ac:dyDescent="0.25">
      <c r="A585" s="7" t="s">
        <v>5372</v>
      </c>
      <c r="B585" s="8" t="s">
        <v>5373</v>
      </c>
      <c r="C585" s="8">
        <v>0.58299999999999996</v>
      </c>
      <c r="D585" s="16" t="s">
        <v>6208</v>
      </c>
    </row>
    <row r="586" spans="1:4" x14ac:dyDescent="0.25">
      <c r="A586" s="4" t="s">
        <v>5374</v>
      </c>
      <c r="B586" s="5" t="s">
        <v>5375</v>
      </c>
      <c r="C586" s="5">
        <v>0.58399999999999996</v>
      </c>
      <c r="D586" s="6" t="s">
        <v>6208</v>
      </c>
    </row>
    <row r="587" spans="1:4" x14ac:dyDescent="0.25">
      <c r="A587" s="7" t="s">
        <v>5376</v>
      </c>
      <c r="B587" s="8" t="s">
        <v>5377</v>
      </c>
      <c r="C587" s="8">
        <v>0.58499999999999996</v>
      </c>
      <c r="D587" s="16" t="s">
        <v>6208</v>
      </c>
    </row>
    <row r="588" spans="1:4" x14ac:dyDescent="0.25">
      <c r="A588" s="4" t="s">
        <v>5378</v>
      </c>
      <c r="B588" s="5" t="s">
        <v>5379</v>
      </c>
      <c r="C588" s="5">
        <v>0.58599999999999997</v>
      </c>
      <c r="D588" s="6" t="s">
        <v>6208</v>
      </c>
    </row>
    <row r="589" spans="1:4" x14ac:dyDescent="0.25">
      <c r="A589" s="7" t="s">
        <v>5380</v>
      </c>
      <c r="B589" s="8" t="s">
        <v>5381</v>
      </c>
      <c r="C589" s="8">
        <v>0.58699999999999997</v>
      </c>
      <c r="D589" s="16" t="s">
        <v>6208</v>
      </c>
    </row>
    <row r="590" spans="1:4" x14ac:dyDescent="0.25">
      <c r="A590" s="4" t="s">
        <v>5382</v>
      </c>
      <c r="B590" s="5" t="s">
        <v>5383</v>
      </c>
      <c r="C590" s="5">
        <v>0.58799999999999997</v>
      </c>
      <c r="D590" s="6" t="s">
        <v>6208</v>
      </c>
    </row>
    <row r="591" spans="1:4" x14ac:dyDescent="0.25">
      <c r="A591" s="7" t="s">
        <v>5384</v>
      </c>
      <c r="B591" s="8" t="s">
        <v>5385</v>
      </c>
      <c r="C591" s="8">
        <v>0.58899999999999997</v>
      </c>
      <c r="D591" s="16" t="s">
        <v>6208</v>
      </c>
    </row>
    <row r="592" spans="1:4" x14ac:dyDescent="0.25">
      <c r="A592" s="4" t="s">
        <v>5386</v>
      </c>
      <c r="B592" s="5" t="s">
        <v>5387</v>
      </c>
      <c r="C592" s="5">
        <v>0.59</v>
      </c>
      <c r="D592" s="6" t="s">
        <v>6208</v>
      </c>
    </row>
    <row r="593" spans="1:4" x14ac:dyDescent="0.25">
      <c r="A593" s="7" t="s">
        <v>5388</v>
      </c>
      <c r="B593" s="8" t="s">
        <v>5389</v>
      </c>
      <c r="C593" s="8">
        <v>0.59099999999999997</v>
      </c>
      <c r="D593" s="16" t="s">
        <v>6208</v>
      </c>
    </row>
    <row r="594" spans="1:4" x14ac:dyDescent="0.25">
      <c r="A594" s="4" t="s">
        <v>5390</v>
      </c>
      <c r="B594" s="5" t="s">
        <v>5391</v>
      </c>
      <c r="C594" s="5">
        <v>0.59199999999999997</v>
      </c>
      <c r="D594" s="6" t="s">
        <v>6208</v>
      </c>
    </row>
    <row r="595" spans="1:4" x14ac:dyDescent="0.25">
      <c r="A595" s="7" t="s">
        <v>5392</v>
      </c>
      <c r="B595" s="8" t="s">
        <v>5393</v>
      </c>
      <c r="C595" s="8">
        <v>0.59299999999999997</v>
      </c>
      <c r="D595" s="16" t="s">
        <v>6208</v>
      </c>
    </row>
    <row r="596" spans="1:4" x14ac:dyDescent="0.25">
      <c r="A596" s="4" t="s">
        <v>5394</v>
      </c>
      <c r="B596" s="5" t="s">
        <v>5395</v>
      </c>
      <c r="C596" s="5">
        <v>0.59399999999999997</v>
      </c>
      <c r="D596" s="6" t="s">
        <v>6208</v>
      </c>
    </row>
    <row r="597" spans="1:4" x14ac:dyDescent="0.25">
      <c r="A597" s="7" t="s">
        <v>5396</v>
      </c>
      <c r="B597" s="8" t="s">
        <v>5397</v>
      </c>
      <c r="C597" s="8">
        <v>0.59499999999999997</v>
      </c>
      <c r="D597" s="16" t="s">
        <v>6208</v>
      </c>
    </row>
    <row r="598" spans="1:4" x14ac:dyDescent="0.25">
      <c r="A598" s="4" t="s">
        <v>5398</v>
      </c>
      <c r="B598" s="5" t="s">
        <v>5399</v>
      </c>
      <c r="C598" s="5">
        <v>0.59599999999999997</v>
      </c>
      <c r="D598" s="6" t="s">
        <v>6208</v>
      </c>
    </row>
    <row r="599" spans="1:4" x14ac:dyDescent="0.25">
      <c r="A599" s="7" t="s">
        <v>5400</v>
      </c>
      <c r="B599" s="8" t="s">
        <v>5401</v>
      </c>
      <c r="C599" s="8">
        <v>0.59699999999999998</v>
      </c>
      <c r="D599" s="16" t="s">
        <v>6208</v>
      </c>
    </row>
    <row r="600" spans="1:4" x14ac:dyDescent="0.25">
      <c r="A600" s="4" t="s">
        <v>5402</v>
      </c>
      <c r="B600" s="5" t="s">
        <v>5403</v>
      </c>
      <c r="C600" s="5">
        <v>0.59799999999999998</v>
      </c>
      <c r="D600" s="6" t="s">
        <v>6208</v>
      </c>
    </row>
    <row r="601" spans="1:4" x14ac:dyDescent="0.25">
      <c r="A601" s="7" t="s">
        <v>5404</v>
      </c>
      <c r="B601" s="8" t="s">
        <v>5405</v>
      </c>
      <c r="C601" s="8">
        <v>0.59899999999999998</v>
      </c>
      <c r="D601" s="16" t="s">
        <v>6208</v>
      </c>
    </row>
    <row r="602" spans="1:4" x14ac:dyDescent="0.25">
      <c r="A602" s="4" t="s">
        <v>5406</v>
      </c>
      <c r="B602" s="5" t="s">
        <v>5407</v>
      </c>
      <c r="C602" s="5">
        <v>0.6</v>
      </c>
      <c r="D602" s="6" t="s">
        <v>6208</v>
      </c>
    </row>
    <row r="603" spans="1:4" x14ac:dyDescent="0.25">
      <c r="A603" s="7" t="s">
        <v>5408</v>
      </c>
      <c r="B603" s="8" t="s">
        <v>5409</v>
      </c>
      <c r="C603" s="8">
        <v>0.60099999999999998</v>
      </c>
      <c r="D603" s="16" t="s">
        <v>6208</v>
      </c>
    </row>
    <row r="604" spans="1:4" x14ac:dyDescent="0.25">
      <c r="A604" s="4" t="s">
        <v>5410</v>
      </c>
      <c r="B604" s="5" t="s">
        <v>5411</v>
      </c>
      <c r="C604" s="5">
        <v>0.60199999999999998</v>
      </c>
      <c r="D604" s="6" t="s">
        <v>6208</v>
      </c>
    </row>
    <row r="605" spans="1:4" x14ac:dyDescent="0.25">
      <c r="A605" s="7" t="s">
        <v>5412</v>
      </c>
      <c r="B605" s="8" t="s">
        <v>5413</v>
      </c>
      <c r="C605" s="8">
        <v>0.60299999999999998</v>
      </c>
      <c r="D605" s="16" t="s">
        <v>6208</v>
      </c>
    </row>
    <row r="606" spans="1:4" x14ac:dyDescent="0.25">
      <c r="A606" s="4" t="s">
        <v>5414</v>
      </c>
      <c r="B606" s="5" t="s">
        <v>5415</v>
      </c>
      <c r="C606" s="5">
        <v>0.60399999999999998</v>
      </c>
      <c r="D606" s="6" t="s">
        <v>6208</v>
      </c>
    </row>
    <row r="607" spans="1:4" x14ac:dyDescent="0.25">
      <c r="A607" s="7" t="s">
        <v>5416</v>
      </c>
      <c r="B607" s="8" t="s">
        <v>5417</v>
      </c>
      <c r="C607" s="8">
        <v>0.60499999999999998</v>
      </c>
      <c r="D607" s="16" t="s">
        <v>6208</v>
      </c>
    </row>
    <row r="608" spans="1:4" x14ac:dyDescent="0.25">
      <c r="A608" s="4" t="s">
        <v>5418</v>
      </c>
      <c r="B608" s="5" t="s">
        <v>5419</v>
      </c>
      <c r="C608" s="5">
        <v>0.60599999999999998</v>
      </c>
      <c r="D608" s="6" t="s">
        <v>6208</v>
      </c>
    </row>
    <row r="609" spans="1:4" x14ac:dyDescent="0.25">
      <c r="A609" s="7" t="s">
        <v>5420</v>
      </c>
      <c r="B609" s="8" t="s">
        <v>5421</v>
      </c>
      <c r="C609" s="8">
        <v>0.60699999999999998</v>
      </c>
      <c r="D609" s="16" t="s">
        <v>6208</v>
      </c>
    </row>
    <row r="610" spans="1:4" x14ac:dyDescent="0.25">
      <c r="A610" s="4" t="s">
        <v>5422</v>
      </c>
      <c r="B610" s="5" t="s">
        <v>5423</v>
      </c>
      <c r="C610" s="5">
        <v>0.60799999999999998</v>
      </c>
      <c r="D610" s="6" t="s">
        <v>6208</v>
      </c>
    </row>
    <row r="611" spans="1:4" x14ac:dyDescent="0.25">
      <c r="A611" s="7" t="s">
        <v>5424</v>
      </c>
      <c r="B611" s="8" t="s">
        <v>5425</v>
      </c>
      <c r="C611" s="8">
        <v>0.60899999999999999</v>
      </c>
      <c r="D611" s="16" t="s">
        <v>6208</v>
      </c>
    </row>
    <row r="612" spans="1:4" x14ac:dyDescent="0.25">
      <c r="A612" s="4" t="s">
        <v>5426</v>
      </c>
      <c r="B612" s="5" t="s">
        <v>5427</v>
      </c>
      <c r="C612" s="5">
        <v>0.61</v>
      </c>
      <c r="D612" s="6" t="s">
        <v>6208</v>
      </c>
    </row>
    <row r="613" spans="1:4" x14ac:dyDescent="0.25">
      <c r="A613" s="7" t="s">
        <v>5428</v>
      </c>
      <c r="B613" s="8" t="s">
        <v>5429</v>
      </c>
      <c r="C613" s="8">
        <v>0.61099999999999999</v>
      </c>
      <c r="D613" s="16" t="s">
        <v>6208</v>
      </c>
    </row>
    <row r="614" spans="1:4" x14ac:dyDescent="0.25">
      <c r="A614" s="4" t="s">
        <v>5430</v>
      </c>
      <c r="B614" s="5" t="s">
        <v>5431</v>
      </c>
      <c r="C614" s="5">
        <v>0.61199999999999999</v>
      </c>
      <c r="D614" s="6" t="s">
        <v>6208</v>
      </c>
    </row>
    <row r="615" spans="1:4" x14ac:dyDescent="0.25">
      <c r="A615" s="7" t="s">
        <v>5432</v>
      </c>
      <c r="B615" s="8" t="s">
        <v>5433</v>
      </c>
      <c r="C615" s="8">
        <v>0.61299999999999999</v>
      </c>
      <c r="D615" s="16" t="s">
        <v>6208</v>
      </c>
    </row>
    <row r="616" spans="1:4" x14ac:dyDescent="0.25">
      <c r="A616" s="4" t="s">
        <v>5434</v>
      </c>
      <c r="B616" s="5" t="s">
        <v>5435</v>
      </c>
      <c r="C616" s="5">
        <v>0.61399999999999999</v>
      </c>
      <c r="D616" s="6" t="s">
        <v>6208</v>
      </c>
    </row>
    <row r="617" spans="1:4" x14ac:dyDescent="0.25">
      <c r="A617" s="7" t="s">
        <v>5436</v>
      </c>
      <c r="B617" s="8" t="s">
        <v>5437</v>
      </c>
      <c r="C617" s="8">
        <v>0.61499999999999999</v>
      </c>
      <c r="D617" s="16" t="s">
        <v>6208</v>
      </c>
    </row>
    <row r="618" spans="1:4" x14ac:dyDescent="0.25">
      <c r="A618" s="4" t="s">
        <v>5438</v>
      </c>
      <c r="B618" s="5" t="s">
        <v>5439</v>
      </c>
      <c r="C618" s="5">
        <v>0.61599999999999999</v>
      </c>
      <c r="D618" s="6" t="s">
        <v>6208</v>
      </c>
    </row>
    <row r="619" spans="1:4" x14ac:dyDescent="0.25">
      <c r="A619" s="7" t="s">
        <v>5440</v>
      </c>
      <c r="B619" s="8" t="s">
        <v>5441</v>
      </c>
      <c r="C619" s="8">
        <v>0.61699999999999999</v>
      </c>
      <c r="D619" s="16" t="s">
        <v>6208</v>
      </c>
    </row>
    <row r="620" spans="1:4" x14ac:dyDescent="0.25">
      <c r="A620" s="4" t="s">
        <v>5442</v>
      </c>
      <c r="B620" s="5" t="s">
        <v>5443</v>
      </c>
      <c r="C620" s="5">
        <v>0.61799999999999999</v>
      </c>
      <c r="D620" s="6" t="s">
        <v>6208</v>
      </c>
    </row>
    <row r="621" spans="1:4" x14ac:dyDescent="0.25">
      <c r="A621" s="7" t="s">
        <v>5444</v>
      </c>
      <c r="B621" s="8" t="s">
        <v>5445</v>
      </c>
      <c r="C621" s="8">
        <v>0.61899999999999999</v>
      </c>
      <c r="D621" s="16" t="s">
        <v>6208</v>
      </c>
    </row>
    <row r="622" spans="1:4" x14ac:dyDescent="0.25">
      <c r="A622" s="4" t="s">
        <v>5446</v>
      </c>
      <c r="B622" s="5" t="s">
        <v>5447</v>
      </c>
      <c r="C622" s="5">
        <v>0.62</v>
      </c>
      <c r="D622" s="6" t="s">
        <v>6208</v>
      </c>
    </row>
    <row r="623" spans="1:4" x14ac:dyDescent="0.25">
      <c r="A623" s="7" t="s">
        <v>5448</v>
      </c>
      <c r="B623" s="8" t="s">
        <v>5449</v>
      </c>
      <c r="C623" s="8">
        <v>0.621</v>
      </c>
      <c r="D623" s="16" t="s">
        <v>6208</v>
      </c>
    </row>
    <row r="624" spans="1:4" x14ac:dyDescent="0.25">
      <c r="A624" s="4" t="s">
        <v>5450</v>
      </c>
      <c r="B624" s="5" t="s">
        <v>5451</v>
      </c>
      <c r="C624" s="5">
        <v>0.622</v>
      </c>
      <c r="D624" s="6" t="s">
        <v>6208</v>
      </c>
    </row>
    <row r="625" spans="1:4" x14ac:dyDescent="0.25">
      <c r="A625" s="7" t="s">
        <v>5452</v>
      </c>
      <c r="B625" s="8" t="s">
        <v>5453</v>
      </c>
      <c r="C625" s="8">
        <v>0.623</v>
      </c>
      <c r="D625" s="16" t="s">
        <v>6208</v>
      </c>
    </row>
    <row r="626" spans="1:4" x14ac:dyDescent="0.25">
      <c r="A626" s="4" t="s">
        <v>5454</v>
      </c>
      <c r="B626" s="5" t="s">
        <v>5455</v>
      </c>
      <c r="C626" s="5">
        <v>0.624</v>
      </c>
      <c r="D626" s="6" t="s">
        <v>6208</v>
      </c>
    </row>
    <row r="627" spans="1:4" x14ac:dyDescent="0.25">
      <c r="A627" s="7" t="s">
        <v>5456</v>
      </c>
      <c r="B627" s="8" t="s">
        <v>5457</v>
      </c>
      <c r="C627" s="8">
        <v>0.625</v>
      </c>
      <c r="D627" s="16" t="s">
        <v>6208</v>
      </c>
    </row>
    <row r="628" spans="1:4" x14ac:dyDescent="0.25">
      <c r="A628" s="4" t="s">
        <v>5458</v>
      </c>
      <c r="B628" s="5" t="s">
        <v>5459</v>
      </c>
      <c r="C628" s="5">
        <v>0.626</v>
      </c>
      <c r="D628" s="6" t="s">
        <v>6208</v>
      </c>
    </row>
    <row r="629" spans="1:4" x14ac:dyDescent="0.25">
      <c r="A629" s="7" t="s">
        <v>5460</v>
      </c>
      <c r="B629" s="8" t="s">
        <v>5461</v>
      </c>
      <c r="C629" s="8">
        <v>0.627</v>
      </c>
      <c r="D629" s="16" t="s">
        <v>6208</v>
      </c>
    </row>
    <row r="630" spans="1:4" x14ac:dyDescent="0.25">
      <c r="A630" s="4" t="s">
        <v>5462</v>
      </c>
      <c r="B630" s="5" t="s">
        <v>5463</v>
      </c>
      <c r="C630" s="5">
        <v>0.628</v>
      </c>
      <c r="D630" s="6" t="s">
        <v>6208</v>
      </c>
    </row>
    <row r="631" spans="1:4" x14ac:dyDescent="0.25">
      <c r="A631" s="7" t="s">
        <v>5464</v>
      </c>
      <c r="B631" s="8" t="s">
        <v>5465</v>
      </c>
      <c r="C631" s="8">
        <v>0.629</v>
      </c>
      <c r="D631" s="16" t="s">
        <v>6208</v>
      </c>
    </row>
    <row r="632" spans="1:4" x14ac:dyDescent="0.25">
      <c r="A632" s="4" t="s">
        <v>5466</v>
      </c>
      <c r="B632" s="5" t="s">
        <v>5467</v>
      </c>
      <c r="C632" s="5">
        <v>0.63</v>
      </c>
      <c r="D632" s="6" t="s">
        <v>6208</v>
      </c>
    </row>
    <row r="633" spans="1:4" x14ac:dyDescent="0.25">
      <c r="A633" s="7" t="s">
        <v>5468</v>
      </c>
      <c r="B633" s="8" t="s">
        <v>5469</v>
      </c>
      <c r="C633" s="8">
        <v>0.63100000000000001</v>
      </c>
      <c r="D633" s="16" t="s">
        <v>6208</v>
      </c>
    </row>
    <row r="634" spans="1:4" x14ac:dyDescent="0.25">
      <c r="A634" s="4" t="s">
        <v>5470</v>
      </c>
      <c r="B634" s="5" t="s">
        <v>5471</v>
      </c>
      <c r="C634" s="5">
        <v>0.63200000000000001</v>
      </c>
      <c r="D634" s="6" t="s">
        <v>6208</v>
      </c>
    </row>
    <row r="635" spans="1:4" x14ac:dyDescent="0.25">
      <c r="A635" s="7" t="s">
        <v>5472</v>
      </c>
      <c r="B635" s="8" t="s">
        <v>5473</v>
      </c>
      <c r="C635" s="8">
        <v>0.63300000000000001</v>
      </c>
      <c r="D635" s="16" t="s">
        <v>6208</v>
      </c>
    </row>
    <row r="636" spans="1:4" x14ac:dyDescent="0.25">
      <c r="A636" s="4" t="s">
        <v>5474</v>
      </c>
      <c r="B636" s="5" t="s">
        <v>5475</v>
      </c>
      <c r="C636" s="5">
        <v>0.63400000000000001</v>
      </c>
      <c r="D636" s="6" t="s">
        <v>6208</v>
      </c>
    </row>
    <row r="637" spans="1:4" x14ac:dyDescent="0.25">
      <c r="A637" s="7" t="s">
        <v>5476</v>
      </c>
      <c r="B637" s="8" t="s">
        <v>5477</v>
      </c>
      <c r="C637" s="8">
        <v>0.63500000000000001</v>
      </c>
      <c r="D637" s="16" t="s">
        <v>6208</v>
      </c>
    </row>
    <row r="638" spans="1:4" x14ac:dyDescent="0.25">
      <c r="A638" s="4" t="s">
        <v>5478</v>
      </c>
      <c r="B638" s="5" t="s">
        <v>5479</v>
      </c>
      <c r="C638" s="5">
        <v>0.63600000000000001</v>
      </c>
      <c r="D638" s="6" t="s">
        <v>6208</v>
      </c>
    </row>
    <row r="639" spans="1:4" x14ac:dyDescent="0.25">
      <c r="A639" s="7" t="s">
        <v>5480</v>
      </c>
      <c r="B639" s="8" t="s">
        <v>5481</v>
      </c>
      <c r="C639" s="8">
        <v>0.63700000000000001</v>
      </c>
      <c r="D639" s="16" t="s">
        <v>6208</v>
      </c>
    </row>
    <row r="640" spans="1:4" x14ac:dyDescent="0.25">
      <c r="A640" s="4" t="s">
        <v>5482</v>
      </c>
      <c r="B640" s="5" t="s">
        <v>5483</v>
      </c>
      <c r="C640" s="5">
        <v>0.63800000000000001</v>
      </c>
      <c r="D640" s="6" t="s">
        <v>6208</v>
      </c>
    </row>
    <row r="641" spans="1:4" x14ac:dyDescent="0.25">
      <c r="A641" s="7" t="s">
        <v>5484</v>
      </c>
      <c r="B641" s="8" t="s">
        <v>5485</v>
      </c>
      <c r="C641" s="8">
        <v>0.63900000000000001</v>
      </c>
      <c r="D641" s="16" t="s">
        <v>6208</v>
      </c>
    </row>
    <row r="642" spans="1:4" x14ac:dyDescent="0.25">
      <c r="A642" s="4" t="s">
        <v>5486</v>
      </c>
      <c r="B642" s="5" t="s">
        <v>5487</v>
      </c>
      <c r="C642" s="5">
        <v>0.64</v>
      </c>
      <c r="D642" s="6" t="s">
        <v>6208</v>
      </c>
    </row>
    <row r="643" spans="1:4" x14ac:dyDescent="0.25">
      <c r="A643" s="7" t="s">
        <v>5488</v>
      </c>
      <c r="B643" s="8" t="s">
        <v>5489</v>
      </c>
      <c r="C643" s="8">
        <v>0.64100000000000001</v>
      </c>
      <c r="D643" s="16" t="s">
        <v>6208</v>
      </c>
    </row>
    <row r="644" spans="1:4" x14ac:dyDescent="0.25">
      <c r="A644" s="4" t="s">
        <v>5490</v>
      </c>
      <c r="B644" s="5" t="s">
        <v>5491</v>
      </c>
      <c r="C644" s="5">
        <v>0.64200000000000002</v>
      </c>
      <c r="D644" s="6" t="s">
        <v>6208</v>
      </c>
    </row>
    <row r="645" spans="1:4" x14ac:dyDescent="0.25">
      <c r="A645" s="7" t="s">
        <v>5492</v>
      </c>
      <c r="B645" s="8" t="s">
        <v>5493</v>
      </c>
      <c r="C645" s="8">
        <v>0.64300000000000002</v>
      </c>
      <c r="D645" s="16" t="s">
        <v>6208</v>
      </c>
    </row>
    <row r="646" spans="1:4" x14ac:dyDescent="0.25">
      <c r="A646" s="4" t="s">
        <v>5494</v>
      </c>
      <c r="B646" s="5" t="s">
        <v>5495</v>
      </c>
      <c r="C646" s="5">
        <v>0.64400000000000002</v>
      </c>
      <c r="D646" s="6" t="s">
        <v>6208</v>
      </c>
    </row>
    <row r="647" spans="1:4" x14ac:dyDescent="0.25">
      <c r="A647" s="7" t="s">
        <v>5496</v>
      </c>
      <c r="B647" s="8" t="s">
        <v>5497</v>
      </c>
      <c r="C647" s="8">
        <v>0.64500000000000002</v>
      </c>
      <c r="D647" s="16" t="s">
        <v>6208</v>
      </c>
    </row>
    <row r="648" spans="1:4" x14ac:dyDescent="0.25">
      <c r="A648" s="4" t="s">
        <v>5498</v>
      </c>
      <c r="B648" s="5" t="s">
        <v>5499</v>
      </c>
      <c r="C648" s="5">
        <v>0.64600000000000002</v>
      </c>
      <c r="D648" s="6" t="s">
        <v>6208</v>
      </c>
    </row>
    <row r="649" spans="1:4" x14ac:dyDescent="0.25">
      <c r="A649" s="7" t="s">
        <v>5500</v>
      </c>
      <c r="B649" s="8" t="s">
        <v>5501</v>
      </c>
      <c r="C649" s="8">
        <v>0.64700000000000002</v>
      </c>
      <c r="D649" s="16" t="s">
        <v>6208</v>
      </c>
    </row>
    <row r="650" spans="1:4" x14ac:dyDescent="0.25">
      <c r="A650" s="4" t="s">
        <v>5502</v>
      </c>
      <c r="B650" s="5" t="s">
        <v>5503</v>
      </c>
      <c r="C650" s="5">
        <v>0.64800000000000002</v>
      </c>
      <c r="D650" s="6" t="s">
        <v>6208</v>
      </c>
    </row>
    <row r="651" spans="1:4" x14ac:dyDescent="0.25">
      <c r="A651" s="7" t="s">
        <v>5504</v>
      </c>
      <c r="B651" s="8" t="s">
        <v>5505</v>
      </c>
      <c r="C651" s="8">
        <v>0.64900000000000002</v>
      </c>
      <c r="D651" s="16" t="s">
        <v>6208</v>
      </c>
    </row>
    <row r="652" spans="1:4" x14ac:dyDescent="0.25">
      <c r="A652" s="4" t="s">
        <v>5506</v>
      </c>
      <c r="B652" s="5" t="s">
        <v>5507</v>
      </c>
      <c r="C652" s="5">
        <v>0.65</v>
      </c>
      <c r="D652" s="6" t="s">
        <v>6208</v>
      </c>
    </row>
    <row r="653" spans="1:4" x14ac:dyDescent="0.25">
      <c r="A653" s="7" t="s">
        <v>5508</v>
      </c>
      <c r="B653" s="8" t="s">
        <v>5509</v>
      </c>
      <c r="C653" s="8">
        <v>0.65100000000000002</v>
      </c>
      <c r="D653" s="16" t="s">
        <v>6208</v>
      </c>
    </row>
    <row r="654" spans="1:4" x14ac:dyDescent="0.25">
      <c r="A654" s="4" t="s">
        <v>5510</v>
      </c>
      <c r="B654" s="5" t="s">
        <v>5511</v>
      </c>
      <c r="C654" s="5">
        <v>0.65200000000000002</v>
      </c>
      <c r="D654" s="6" t="s">
        <v>6208</v>
      </c>
    </row>
    <row r="655" spans="1:4" x14ac:dyDescent="0.25">
      <c r="A655" s="7" t="s">
        <v>5512</v>
      </c>
      <c r="B655" s="8" t="s">
        <v>5513</v>
      </c>
      <c r="C655" s="8">
        <v>0.65300000000000002</v>
      </c>
      <c r="D655" s="16" t="s">
        <v>6208</v>
      </c>
    </row>
    <row r="656" spans="1:4" x14ac:dyDescent="0.25">
      <c r="A656" s="4" t="s">
        <v>5514</v>
      </c>
      <c r="B656" s="5" t="s">
        <v>5515</v>
      </c>
      <c r="C656" s="5">
        <v>0.65400000000000003</v>
      </c>
      <c r="D656" s="6" t="s">
        <v>6208</v>
      </c>
    </row>
    <row r="657" spans="1:4" x14ac:dyDescent="0.25">
      <c r="A657" s="7" t="s">
        <v>5516</v>
      </c>
      <c r="B657" s="8" t="s">
        <v>5517</v>
      </c>
      <c r="C657" s="8">
        <v>0.65500000000000003</v>
      </c>
      <c r="D657" s="16" t="s">
        <v>6208</v>
      </c>
    </row>
    <row r="658" spans="1:4" x14ac:dyDescent="0.25">
      <c r="A658" s="4" t="s">
        <v>5518</v>
      </c>
      <c r="B658" s="5" t="s">
        <v>5519</v>
      </c>
      <c r="C658" s="5">
        <v>0.65600000000000003</v>
      </c>
      <c r="D658" s="6" t="s">
        <v>6208</v>
      </c>
    </row>
    <row r="659" spans="1:4" x14ac:dyDescent="0.25">
      <c r="A659" s="7" t="s">
        <v>5520</v>
      </c>
      <c r="B659" s="8" t="s">
        <v>5521</v>
      </c>
      <c r="C659" s="8">
        <v>0.65700000000000003</v>
      </c>
      <c r="D659" s="16" t="s">
        <v>6208</v>
      </c>
    </row>
    <row r="660" spans="1:4" x14ac:dyDescent="0.25">
      <c r="A660" s="4" t="s">
        <v>5522</v>
      </c>
      <c r="B660" s="5" t="s">
        <v>5523</v>
      </c>
      <c r="C660" s="5">
        <v>0.65800000000000003</v>
      </c>
      <c r="D660" s="6" t="s">
        <v>6208</v>
      </c>
    </row>
    <row r="661" spans="1:4" x14ac:dyDescent="0.25">
      <c r="A661" s="7" t="s">
        <v>5524</v>
      </c>
      <c r="B661" s="8" t="s">
        <v>5525</v>
      </c>
      <c r="C661" s="8">
        <v>0.65900000000000003</v>
      </c>
      <c r="D661" s="16" t="s">
        <v>6208</v>
      </c>
    </row>
    <row r="662" spans="1:4" x14ac:dyDescent="0.25">
      <c r="A662" s="4" t="s">
        <v>5526</v>
      </c>
      <c r="B662" s="5" t="s">
        <v>5527</v>
      </c>
      <c r="C662" s="5">
        <v>0.66000000000000103</v>
      </c>
      <c r="D662" s="6" t="s">
        <v>6208</v>
      </c>
    </row>
    <row r="663" spans="1:4" x14ac:dyDescent="0.25">
      <c r="A663" s="7" t="s">
        <v>5528</v>
      </c>
      <c r="B663" s="8" t="s">
        <v>5529</v>
      </c>
      <c r="C663" s="8">
        <v>0.66100000000000103</v>
      </c>
      <c r="D663" s="16" t="s">
        <v>6208</v>
      </c>
    </row>
    <row r="664" spans="1:4" x14ac:dyDescent="0.25">
      <c r="A664" s="4" t="s">
        <v>5530</v>
      </c>
      <c r="B664" s="5" t="s">
        <v>5531</v>
      </c>
      <c r="C664" s="5">
        <v>0.66200000000000103</v>
      </c>
      <c r="D664" s="6" t="s">
        <v>6208</v>
      </c>
    </row>
    <row r="665" spans="1:4" x14ac:dyDescent="0.25">
      <c r="A665" s="7" t="s">
        <v>5532</v>
      </c>
      <c r="B665" s="8" t="s">
        <v>5533</v>
      </c>
      <c r="C665" s="8">
        <v>0.66300000000000103</v>
      </c>
      <c r="D665" s="16" t="s">
        <v>6208</v>
      </c>
    </row>
    <row r="666" spans="1:4" x14ac:dyDescent="0.25">
      <c r="A666" s="4" t="s">
        <v>5534</v>
      </c>
      <c r="B666" s="5" t="s">
        <v>5535</v>
      </c>
      <c r="C666" s="5">
        <v>0.66400000000000103</v>
      </c>
      <c r="D666" s="6" t="s">
        <v>6208</v>
      </c>
    </row>
    <row r="667" spans="1:4" x14ac:dyDescent="0.25">
      <c r="A667" s="7" t="s">
        <v>5536</v>
      </c>
      <c r="B667" s="8" t="s">
        <v>5537</v>
      </c>
      <c r="C667" s="8">
        <v>0.66500000000000103</v>
      </c>
      <c r="D667" s="16" t="s">
        <v>6208</v>
      </c>
    </row>
    <row r="668" spans="1:4" x14ac:dyDescent="0.25">
      <c r="A668" s="4" t="s">
        <v>5538</v>
      </c>
      <c r="B668" s="5" t="s">
        <v>5539</v>
      </c>
      <c r="C668" s="5">
        <v>0.66600000000000104</v>
      </c>
      <c r="D668" s="6" t="s">
        <v>6208</v>
      </c>
    </row>
    <row r="669" spans="1:4" x14ac:dyDescent="0.25">
      <c r="A669" s="7" t="s">
        <v>5540</v>
      </c>
      <c r="B669" s="8" t="s">
        <v>5541</v>
      </c>
      <c r="C669" s="8">
        <v>0.66700000000000104</v>
      </c>
      <c r="D669" s="16" t="s">
        <v>6208</v>
      </c>
    </row>
    <row r="670" spans="1:4" x14ac:dyDescent="0.25">
      <c r="A670" s="4" t="s">
        <v>5542</v>
      </c>
      <c r="B670" s="5" t="s">
        <v>5543</v>
      </c>
      <c r="C670" s="5">
        <v>0.66800000000000104</v>
      </c>
      <c r="D670" s="6" t="s">
        <v>6208</v>
      </c>
    </row>
    <row r="671" spans="1:4" x14ac:dyDescent="0.25">
      <c r="A671" s="7" t="s">
        <v>5544</v>
      </c>
      <c r="B671" s="8" t="s">
        <v>5545</v>
      </c>
      <c r="C671" s="8">
        <v>0.66900000000000104</v>
      </c>
      <c r="D671" s="16" t="s">
        <v>6208</v>
      </c>
    </row>
    <row r="672" spans="1:4" x14ac:dyDescent="0.25">
      <c r="A672" s="4" t="s">
        <v>5546</v>
      </c>
      <c r="B672" s="5" t="s">
        <v>5547</v>
      </c>
      <c r="C672" s="5">
        <v>0.67000000000000104</v>
      </c>
      <c r="D672" s="6" t="s">
        <v>6208</v>
      </c>
    </row>
    <row r="673" spans="1:4" x14ac:dyDescent="0.25">
      <c r="A673" s="7" t="s">
        <v>5548</v>
      </c>
      <c r="B673" s="8" t="s">
        <v>5549</v>
      </c>
      <c r="C673" s="8">
        <v>0.67100000000000104</v>
      </c>
      <c r="D673" s="16" t="s">
        <v>6208</v>
      </c>
    </row>
    <row r="674" spans="1:4" x14ac:dyDescent="0.25">
      <c r="A674" s="4" t="s">
        <v>5550</v>
      </c>
      <c r="B674" s="5" t="s">
        <v>5551</v>
      </c>
      <c r="C674" s="5">
        <v>0.67200000000000104</v>
      </c>
      <c r="D674" s="6" t="s">
        <v>6208</v>
      </c>
    </row>
    <row r="675" spans="1:4" x14ac:dyDescent="0.25">
      <c r="A675" s="7" t="s">
        <v>5552</v>
      </c>
      <c r="B675" s="8" t="s">
        <v>5553</v>
      </c>
      <c r="C675" s="8">
        <v>0.67300000000000104</v>
      </c>
      <c r="D675" s="16" t="s">
        <v>6208</v>
      </c>
    </row>
    <row r="676" spans="1:4" x14ac:dyDescent="0.25">
      <c r="A676" s="4" t="s">
        <v>5554</v>
      </c>
      <c r="B676" s="5" t="s">
        <v>5555</v>
      </c>
      <c r="C676" s="5">
        <v>0.67400000000000104</v>
      </c>
      <c r="D676" s="6" t="s">
        <v>6208</v>
      </c>
    </row>
    <row r="677" spans="1:4" x14ac:dyDescent="0.25">
      <c r="A677" s="7" t="s">
        <v>5556</v>
      </c>
      <c r="B677" s="8" t="s">
        <v>5557</v>
      </c>
      <c r="C677" s="8">
        <v>0.67500000000000104</v>
      </c>
      <c r="D677" s="16" t="s">
        <v>6208</v>
      </c>
    </row>
    <row r="678" spans="1:4" x14ac:dyDescent="0.25">
      <c r="A678" s="4" t="s">
        <v>5558</v>
      </c>
      <c r="B678" s="5" t="s">
        <v>5559</v>
      </c>
      <c r="C678" s="5">
        <v>0.67600000000000104</v>
      </c>
      <c r="D678" s="6" t="s">
        <v>6208</v>
      </c>
    </row>
    <row r="679" spans="1:4" x14ac:dyDescent="0.25">
      <c r="A679" s="7" t="s">
        <v>5560</v>
      </c>
      <c r="B679" s="8" t="s">
        <v>5561</v>
      </c>
      <c r="C679" s="8">
        <v>0.67700000000000105</v>
      </c>
      <c r="D679" s="16" t="s">
        <v>6208</v>
      </c>
    </row>
    <row r="680" spans="1:4" x14ac:dyDescent="0.25">
      <c r="A680" s="4" t="s">
        <v>5562</v>
      </c>
      <c r="B680" s="5" t="s">
        <v>5563</v>
      </c>
      <c r="C680" s="5">
        <v>0.67800000000000105</v>
      </c>
      <c r="D680" s="6" t="s">
        <v>6208</v>
      </c>
    </row>
    <row r="681" spans="1:4" x14ac:dyDescent="0.25">
      <c r="A681" s="7" t="s">
        <v>5564</v>
      </c>
      <c r="B681" s="8" t="s">
        <v>5565</v>
      </c>
      <c r="C681" s="8">
        <v>0.67900000000000105</v>
      </c>
      <c r="D681" s="16" t="s">
        <v>6208</v>
      </c>
    </row>
    <row r="682" spans="1:4" x14ac:dyDescent="0.25">
      <c r="A682" s="4" t="s">
        <v>5566</v>
      </c>
      <c r="B682" s="5" t="s">
        <v>5567</v>
      </c>
      <c r="C682" s="5">
        <v>0.68000000000000105</v>
      </c>
      <c r="D682" s="6" t="s">
        <v>6208</v>
      </c>
    </row>
    <row r="683" spans="1:4" x14ac:dyDescent="0.25">
      <c r="A683" s="7" t="s">
        <v>5568</v>
      </c>
      <c r="B683" s="8" t="s">
        <v>5569</v>
      </c>
      <c r="C683" s="8">
        <v>0.68100000000000105</v>
      </c>
      <c r="D683" s="16" t="s">
        <v>6208</v>
      </c>
    </row>
    <row r="684" spans="1:4" x14ac:dyDescent="0.25">
      <c r="A684" s="4" t="s">
        <v>5570</v>
      </c>
      <c r="B684" s="5" t="s">
        <v>5571</v>
      </c>
      <c r="C684" s="5">
        <v>0.68200000000000105</v>
      </c>
      <c r="D684" s="6" t="s">
        <v>6208</v>
      </c>
    </row>
    <row r="685" spans="1:4" x14ac:dyDescent="0.25">
      <c r="A685" s="7" t="s">
        <v>5572</v>
      </c>
      <c r="B685" s="8" t="s">
        <v>5573</v>
      </c>
      <c r="C685" s="8">
        <v>0.68300000000000105</v>
      </c>
      <c r="D685" s="16" t="s">
        <v>6208</v>
      </c>
    </row>
    <row r="686" spans="1:4" x14ac:dyDescent="0.25">
      <c r="A686" s="4" t="s">
        <v>5574</v>
      </c>
      <c r="B686" s="5" t="s">
        <v>5575</v>
      </c>
      <c r="C686" s="5">
        <v>0.68400000000000105</v>
      </c>
      <c r="D686" s="6" t="s">
        <v>6208</v>
      </c>
    </row>
    <row r="687" spans="1:4" x14ac:dyDescent="0.25">
      <c r="A687" s="7" t="s">
        <v>5576</v>
      </c>
      <c r="B687" s="8" t="s">
        <v>5577</v>
      </c>
      <c r="C687" s="8">
        <v>0.68500000000000105</v>
      </c>
      <c r="D687" s="16" t="s">
        <v>6208</v>
      </c>
    </row>
    <row r="688" spans="1:4" x14ac:dyDescent="0.25">
      <c r="A688" s="4" t="s">
        <v>5578</v>
      </c>
      <c r="B688" s="5" t="s">
        <v>5579</v>
      </c>
      <c r="C688" s="5">
        <v>0.68600000000000105</v>
      </c>
      <c r="D688" s="6" t="s">
        <v>6208</v>
      </c>
    </row>
    <row r="689" spans="1:4" x14ac:dyDescent="0.25">
      <c r="A689" s="7" t="s">
        <v>5580</v>
      </c>
      <c r="B689" s="8" t="s">
        <v>5581</v>
      </c>
      <c r="C689" s="8">
        <v>0.68700000000000105</v>
      </c>
      <c r="D689" s="16" t="s">
        <v>6208</v>
      </c>
    </row>
    <row r="690" spans="1:4" x14ac:dyDescent="0.25">
      <c r="A690" s="4" t="s">
        <v>5582</v>
      </c>
      <c r="B690" s="5" t="s">
        <v>5583</v>
      </c>
      <c r="C690" s="5">
        <v>0.68800000000000106</v>
      </c>
      <c r="D690" s="6" t="s">
        <v>6208</v>
      </c>
    </row>
    <row r="691" spans="1:4" x14ac:dyDescent="0.25">
      <c r="A691" s="7" t="s">
        <v>5584</v>
      </c>
      <c r="B691" s="8" t="s">
        <v>5585</v>
      </c>
      <c r="C691" s="8">
        <v>0.68900000000000095</v>
      </c>
      <c r="D691" s="16" t="s">
        <v>6208</v>
      </c>
    </row>
    <row r="692" spans="1:4" x14ac:dyDescent="0.25">
      <c r="A692" s="4" t="s">
        <v>5586</v>
      </c>
      <c r="B692" s="5" t="s">
        <v>5587</v>
      </c>
      <c r="C692" s="5">
        <v>0.69000000000000095</v>
      </c>
      <c r="D692" s="6" t="s">
        <v>6208</v>
      </c>
    </row>
    <row r="693" spans="1:4" x14ac:dyDescent="0.25">
      <c r="A693" s="7" t="s">
        <v>5588</v>
      </c>
      <c r="B693" s="8" t="s">
        <v>5589</v>
      </c>
      <c r="C693" s="8">
        <v>0.69100000000000095</v>
      </c>
      <c r="D693" s="16" t="s">
        <v>6208</v>
      </c>
    </row>
    <row r="694" spans="1:4" x14ac:dyDescent="0.25">
      <c r="A694" s="4" t="s">
        <v>5590</v>
      </c>
      <c r="B694" s="5" t="s">
        <v>5591</v>
      </c>
      <c r="C694" s="5">
        <v>0.69200000000000095</v>
      </c>
      <c r="D694" s="6" t="s">
        <v>6208</v>
      </c>
    </row>
    <row r="695" spans="1:4" x14ac:dyDescent="0.25">
      <c r="A695" s="7" t="s">
        <v>5592</v>
      </c>
      <c r="B695" s="8" t="s">
        <v>5593</v>
      </c>
      <c r="C695" s="8">
        <v>0.69300000000000095</v>
      </c>
      <c r="D695" s="16" t="s">
        <v>6208</v>
      </c>
    </row>
    <row r="696" spans="1:4" x14ac:dyDescent="0.25">
      <c r="A696" s="4" t="s">
        <v>5594</v>
      </c>
      <c r="B696" s="5" t="s">
        <v>5595</v>
      </c>
      <c r="C696" s="5">
        <v>0.69400000000000095</v>
      </c>
      <c r="D696" s="6" t="s">
        <v>6208</v>
      </c>
    </row>
    <row r="697" spans="1:4" x14ac:dyDescent="0.25">
      <c r="A697" s="7" t="s">
        <v>5596</v>
      </c>
      <c r="B697" s="8" t="s">
        <v>5597</v>
      </c>
      <c r="C697" s="8">
        <v>0.69500000000000095</v>
      </c>
      <c r="D697" s="16" t="s">
        <v>6208</v>
      </c>
    </row>
    <row r="698" spans="1:4" x14ac:dyDescent="0.25">
      <c r="A698" s="4" t="s">
        <v>5598</v>
      </c>
      <c r="B698" s="5" t="s">
        <v>5599</v>
      </c>
      <c r="C698" s="5">
        <v>0.69600000000000095</v>
      </c>
      <c r="D698" s="6" t="s">
        <v>6208</v>
      </c>
    </row>
    <row r="699" spans="1:4" x14ac:dyDescent="0.25">
      <c r="A699" s="7" t="s">
        <v>5600</v>
      </c>
      <c r="B699" s="8" t="s">
        <v>5601</v>
      </c>
      <c r="C699" s="8">
        <v>0.69700000000000095</v>
      </c>
      <c r="D699" s="16" t="s">
        <v>6208</v>
      </c>
    </row>
    <row r="700" spans="1:4" x14ac:dyDescent="0.25">
      <c r="A700" s="4" t="s">
        <v>5602</v>
      </c>
      <c r="B700" s="5" t="s">
        <v>5603</v>
      </c>
      <c r="C700" s="5">
        <v>0.69800000000000095</v>
      </c>
      <c r="D700" s="6" t="s">
        <v>6208</v>
      </c>
    </row>
    <row r="701" spans="1:4" x14ac:dyDescent="0.25">
      <c r="A701" s="7" t="s">
        <v>5604</v>
      </c>
      <c r="B701" s="8" t="s">
        <v>5605</v>
      </c>
      <c r="C701" s="8">
        <v>0.69900000000000095</v>
      </c>
      <c r="D701" s="16" t="s">
        <v>6208</v>
      </c>
    </row>
    <row r="702" spans="1:4" x14ac:dyDescent="0.25">
      <c r="A702" s="4" t="s">
        <v>5606</v>
      </c>
      <c r="B702" s="5" t="s">
        <v>5607</v>
      </c>
      <c r="C702" s="5">
        <v>0.70000000000000095</v>
      </c>
      <c r="D702" s="6" t="s">
        <v>6208</v>
      </c>
    </row>
    <row r="703" spans="1:4" x14ac:dyDescent="0.25">
      <c r="A703" s="7" t="s">
        <v>5608</v>
      </c>
      <c r="B703" s="8" t="s">
        <v>5609</v>
      </c>
      <c r="C703" s="8">
        <v>0.70100000000000096</v>
      </c>
      <c r="D703" s="16" t="s">
        <v>6208</v>
      </c>
    </row>
    <row r="704" spans="1:4" x14ac:dyDescent="0.25">
      <c r="A704" s="4" t="s">
        <v>5610</v>
      </c>
      <c r="B704" s="5" t="s">
        <v>5611</v>
      </c>
      <c r="C704" s="5">
        <v>0.70200000000000096</v>
      </c>
      <c r="D704" s="6" t="s">
        <v>6208</v>
      </c>
    </row>
    <row r="705" spans="1:4" x14ac:dyDescent="0.25">
      <c r="A705" s="7" t="s">
        <v>5612</v>
      </c>
      <c r="B705" s="8" t="s">
        <v>5613</v>
      </c>
      <c r="C705" s="8">
        <v>0.70300000000000096</v>
      </c>
      <c r="D705" s="16" t="s">
        <v>6208</v>
      </c>
    </row>
    <row r="706" spans="1:4" x14ac:dyDescent="0.25">
      <c r="A706" s="4" t="s">
        <v>5614</v>
      </c>
      <c r="B706" s="5" t="s">
        <v>5615</v>
      </c>
      <c r="C706" s="5">
        <v>0.70400000000000096</v>
      </c>
      <c r="D706" s="6" t="s">
        <v>6208</v>
      </c>
    </row>
    <row r="707" spans="1:4" x14ac:dyDescent="0.25">
      <c r="A707" s="7" t="s">
        <v>5616</v>
      </c>
      <c r="B707" s="8" t="s">
        <v>5617</v>
      </c>
      <c r="C707" s="8">
        <v>0.70500000000000096</v>
      </c>
      <c r="D707" s="16" t="s">
        <v>6208</v>
      </c>
    </row>
    <row r="708" spans="1:4" x14ac:dyDescent="0.25">
      <c r="A708" s="4" t="s">
        <v>5618</v>
      </c>
      <c r="B708" s="5" t="s">
        <v>5619</v>
      </c>
      <c r="C708" s="5">
        <v>0.70600000000000096</v>
      </c>
      <c r="D708" s="6" t="s">
        <v>6208</v>
      </c>
    </row>
    <row r="709" spans="1:4" x14ac:dyDescent="0.25">
      <c r="A709" s="7" t="s">
        <v>5620</v>
      </c>
      <c r="B709" s="8" t="s">
        <v>5621</v>
      </c>
      <c r="C709" s="8">
        <v>0.70700000000000096</v>
      </c>
      <c r="D709" s="16" t="s">
        <v>6208</v>
      </c>
    </row>
    <row r="710" spans="1:4" x14ac:dyDescent="0.25">
      <c r="A710" s="4" t="s">
        <v>5622</v>
      </c>
      <c r="B710" s="5" t="s">
        <v>5623</v>
      </c>
      <c r="C710" s="5">
        <v>0.70800000000000096</v>
      </c>
      <c r="D710" s="6" t="s">
        <v>6208</v>
      </c>
    </row>
    <row r="711" spans="1:4" x14ac:dyDescent="0.25">
      <c r="A711" s="7" t="s">
        <v>5624</v>
      </c>
      <c r="B711" s="8" t="s">
        <v>5625</v>
      </c>
      <c r="C711" s="8">
        <v>0.70900000000000096</v>
      </c>
      <c r="D711" s="16" t="s">
        <v>6208</v>
      </c>
    </row>
    <row r="712" spans="1:4" x14ac:dyDescent="0.25">
      <c r="A712" s="4" t="s">
        <v>5626</v>
      </c>
      <c r="B712" s="5" t="s">
        <v>5627</v>
      </c>
      <c r="C712" s="5">
        <v>0.71000000000000096</v>
      </c>
      <c r="D712" s="6" t="s">
        <v>6208</v>
      </c>
    </row>
    <row r="713" spans="1:4" x14ac:dyDescent="0.25">
      <c r="A713" s="7" t="s">
        <v>5628</v>
      </c>
      <c r="B713" s="8" t="s">
        <v>5629</v>
      </c>
      <c r="C713" s="8">
        <v>0.71100000000000096</v>
      </c>
      <c r="D713" s="16" t="s">
        <v>6208</v>
      </c>
    </row>
    <row r="714" spans="1:4" x14ac:dyDescent="0.25">
      <c r="A714" s="4" t="s">
        <v>5630</v>
      </c>
      <c r="B714" s="5" t="s">
        <v>5631</v>
      </c>
      <c r="C714" s="5">
        <v>0.71200000000000097</v>
      </c>
      <c r="D714" s="6" t="s">
        <v>6208</v>
      </c>
    </row>
    <row r="715" spans="1:4" x14ac:dyDescent="0.25">
      <c r="A715" s="7" t="s">
        <v>5632</v>
      </c>
      <c r="B715" s="8" t="s">
        <v>5633</v>
      </c>
      <c r="C715" s="8">
        <v>0.71300000000000097</v>
      </c>
      <c r="D715" s="16" t="s">
        <v>6208</v>
      </c>
    </row>
    <row r="716" spans="1:4" x14ac:dyDescent="0.25">
      <c r="A716" s="4" t="s">
        <v>5634</v>
      </c>
      <c r="B716" s="5" t="s">
        <v>5635</v>
      </c>
      <c r="C716" s="5">
        <v>0.71400000000000097</v>
      </c>
      <c r="D716" s="6" t="s">
        <v>6208</v>
      </c>
    </row>
    <row r="717" spans="1:4" x14ac:dyDescent="0.25">
      <c r="A717" s="7" t="s">
        <v>5636</v>
      </c>
      <c r="B717" s="8" t="s">
        <v>5637</v>
      </c>
      <c r="C717" s="8">
        <v>0.71500000000000097</v>
      </c>
      <c r="D717" s="16" t="s">
        <v>6208</v>
      </c>
    </row>
    <row r="718" spans="1:4" x14ac:dyDescent="0.25">
      <c r="A718" s="4" t="s">
        <v>5638</v>
      </c>
      <c r="B718" s="5" t="s">
        <v>5639</v>
      </c>
      <c r="C718" s="5">
        <v>0.71600000000000097</v>
      </c>
      <c r="D718" s="6" t="s">
        <v>6208</v>
      </c>
    </row>
    <row r="719" spans="1:4" x14ac:dyDescent="0.25">
      <c r="A719" s="7" t="s">
        <v>5640</v>
      </c>
      <c r="B719" s="8" t="s">
        <v>5641</v>
      </c>
      <c r="C719" s="8">
        <v>0.71700000000000097</v>
      </c>
      <c r="D719" s="16" t="s">
        <v>6208</v>
      </c>
    </row>
    <row r="720" spans="1:4" x14ac:dyDescent="0.25">
      <c r="A720" s="4" t="s">
        <v>5642</v>
      </c>
      <c r="B720" s="5" t="s">
        <v>5643</v>
      </c>
      <c r="C720" s="5">
        <v>0.71800000000000097</v>
      </c>
      <c r="D720" s="6" t="s">
        <v>6208</v>
      </c>
    </row>
    <row r="721" spans="1:4" x14ac:dyDescent="0.25">
      <c r="A721" s="7" t="s">
        <v>5644</v>
      </c>
      <c r="B721" s="8" t="s">
        <v>5645</v>
      </c>
      <c r="C721" s="8">
        <v>0.71900000000000097</v>
      </c>
      <c r="D721" s="16" t="s">
        <v>6208</v>
      </c>
    </row>
    <row r="722" spans="1:4" x14ac:dyDescent="0.25">
      <c r="A722" s="4" t="s">
        <v>5646</v>
      </c>
      <c r="B722" s="5" t="s">
        <v>5647</v>
      </c>
      <c r="C722" s="5">
        <v>0.72000000000000097</v>
      </c>
      <c r="D722" s="6" t="s">
        <v>6208</v>
      </c>
    </row>
    <row r="723" spans="1:4" x14ac:dyDescent="0.25">
      <c r="A723" s="7" t="s">
        <v>5648</v>
      </c>
      <c r="B723" s="8" t="s">
        <v>5649</v>
      </c>
      <c r="C723" s="8">
        <v>0.72100000000000097</v>
      </c>
      <c r="D723" s="16" t="s">
        <v>6208</v>
      </c>
    </row>
    <row r="724" spans="1:4" x14ac:dyDescent="0.25">
      <c r="A724" s="4" t="s">
        <v>5650</v>
      </c>
      <c r="B724" s="5" t="s">
        <v>5651</v>
      </c>
      <c r="C724" s="5">
        <v>0.72200000000000097</v>
      </c>
      <c r="D724" s="6" t="s">
        <v>6208</v>
      </c>
    </row>
    <row r="725" spans="1:4" x14ac:dyDescent="0.25">
      <c r="A725" s="7" t="s">
        <v>5652</v>
      </c>
      <c r="B725" s="8" t="s">
        <v>5653</v>
      </c>
      <c r="C725" s="8">
        <v>0.72300000000000098</v>
      </c>
      <c r="D725" s="16" t="s">
        <v>6208</v>
      </c>
    </row>
    <row r="726" spans="1:4" x14ac:dyDescent="0.25">
      <c r="A726" s="4" t="s">
        <v>5654</v>
      </c>
      <c r="B726" s="5" t="s">
        <v>5655</v>
      </c>
      <c r="C726" s="5">
        <v>0.72400000000000098</v>
      </c>
      <c r="D726" s="6" t="s">
        <v>6208</v>
      </c>
    </row>
    <row r="727" spans="1:4" x14ac:dyDescent="0.25">
      <c r="A727" s="7" t="s">
        <v>5656</v>
      </c>
      <c r="B727" s="8" t="s">
        <v>5657</v>
      </c>
      <c r="C727" s="8">
        <v>0.72500000000000098</v>
      </c>
      <c r="D727" s="16" t="s">
        <v>6208</v>
      </c>
    </row>
    <row r="728" spans="1:4" x14ac:dyDescent="0.25">
      <c r="A728" s="4" t="s">
        <v>5658</v>
      </c>
      <c r="B728" s="5" t="s">
        <v>5659</v>
      </c>
      <c r="C728" s="5">
        <v>0.72600000000000098</v>
      </c>
      <c r="D728" s="6" t="s">
        <v>6208</v>
      </c>
    </row>
    <row r="729" spans="1:4" x14ac:dyDescent="0.25">
      <c r="A729" s="7" t="s">
        <v>5660</v>
      </c>
      <c r="B729" s="8" t="s">
        <v>5661</v>
      </c>
      <c r="C729" s="8">
        <v>0.72700000000000098</v>
      </c>
      <c r="D729" s="16" t="s">
        <v>6208</v>
      </c>
    </row>
    <row r="730" spans="1:4" x14ac:dyDescent="0.25">
      <c r="A730" s="4" t="s">
        <v>5662</v>
      </c>
      <c r="B730" s="5" t="s">
        <v>5663</v>
      </c>
      <c r="C730" s="5">
        <v>0.72800000000000098</v>
      </c>
      <c r="D730" s="6" t="s">
        <v>6208</v>
      </c>
    </row>
    <row r="731" spans="1:4" x14ac:dyDescent="0.25">
      <c r="A731" s="7" t="s">
        <v>5664</v>
      </c>
      <c r="B731" s="8" t="s">
        <v>5665</v>
      </c>
      <c r="C731" s="8">
        <v>0.72900000000000098</v>
      </c>
      <c r="D731" s="16" t="s">
        <v>6208</v>
      </c>
    </row>
    <row r="732" spans="1:4" x14ac:dyDescent="0.25">
      <c r="A732" s="4" t="s">
        <v>5666</v>
      </c>
      <c r="B732" s="5" t="s">
        <v>5667</v>
      </c>
      <c r="C732" s="5">
        <v>0.73000000000000098</v>
      </c>
      <c r="D732" s="6" t="s">
        <v>6208</v>
      </c>
    </row>
    <row r="733" spans="1:4" x14ac:dyDescent="0.25">
      <c r="A733" s="7" t="s">
        <v>5668</v>
      </c>
      <c r="B733" s="8" t="s">
        <v>5669</v>
      </c>
      <c r="C733" s="8">
        <v>0.73100000000000098</v>
      </c>
      <c r="D733" s="16" t="s">
        <v>6208</v>
      </c>
    </row>
    <row r="734" spans="1:4" x14ac:dyDescent="0.25">
      <c r="A734" s="4" t="s">
        <v>5670</v>
      </c>
      <c r="B734" s="5" t="s">
        <v>5671</v>
      </c>
      <c r="C734" s="5">
        <v>0.73200000000000098</v>
      </c>
      <c r="D734" s="6" t="s">
        <v>6208</v>
      </c>
    </row>
    <row r="735" spans="1:4" x14ac:dyDescent="0.25">
      <c r="A735" s="7" t="s">
        <v>5672</v>
      </c>
      <c r="B735" s="8" t="s">
        <v>5673</v>
      </c>
      <c r="C735" s="8">
        <v>0.73300000000000098</v>
      </c>
      <c r="D735" s="16" t="s">
        <v>6208</v>
      </c>
    </row>
    <row r="736" spans="1:4" x14ac:dyDescent="0.25">
      <c r="A736" s="4" t="s">
        <v>5674</v>
      </c>
      <c r="B736" s="5" t="s">
        <v>5675</v>
      </c>
      <c r="C736" s="5">
        <v>0.73400000000000098</v>
      </c>
      <c r="D736" s="6" t="s">
        <v>6208</v>
      </c>
    </row>
    <row r="737" spans="1:4" x14ac:dyDescent="0.25">
      <c r="A737" s="7" t="s">
        <v>5676</v>
      </c>
      <c r="B737" s="8" t="s">
        <v>5677</v>
      </c>
      <c r="C737" s="8">
        <v>0.73500000000000099</v>
      </c>
      <c r="D737" s="16" t="s">
        <v>6208</v>
      </c>
    </row>
    <row r="738" spans="1:4" x14ac:dyDescent="0.25">
      <c r="A738" s="4" t="s">
        <v>5678</v>
      </c>
      <c r="B738" s="5" t="s">
        <v>5679</v>
      </c>
      <c r="C738" s="5">
        <v>0.73600000000000099</v>
      </c>
      <c r="D738" s="6" t="s">
        <v>6208</v>
      </c>
    </row>
    <row r="739" spans="1:4" x14ac:dyDescent="0.25">
      <c r="A739" s="7" t="s">
        <v>5680</v>
      </c>
      <c r="B739" s="8" t="s">
        <v>5681</v>
      </c>
      <c r="C739" s="8">
        <v>0.73700000000000099</v>
      </c>
      <c r="D739" s="16" t="s">
        <v>6208</v>
      </c>
    </row>
    <row r="740" spans="1:4" x14ac:dyDescent="0.25">
      <c r="A740" s="4" t="s">
        <v>5682</v>
      </c>
      <c r="B740" s="5" t="s">
        <v>5683</v>
      </c>
      <c r="C740" s="5">
        <v>0.73800000000000099</v>
      </c>
      <c r="D740" s="6" t="s">
        <v>6208</v>
      </c>
    </row>
    <row r="741" spans="1:4" x14ac:dyDescent="0.25">
      <c r="A741" s="7" t="s">
        <v>5684</v>
      </c>
      <c r="B741" s="8" t="s">
        <v>5685</v>
      </c>
      <c r="C741" s="8">
        <v>0.73900000000000099</v>
      </c>
      <c r="D741" s="16" t="s">
        <v>6208</v>
      </c>
    </row>
    <row r="742" spans="1:4" x14ac:dyDescent="0.25">
      <c r="A742" s="4" t="s">
        <v>5686</v>
      </c>
      <c r="B742" s="5" t="s">
        <v>5687</v>
      </c>
      <c r="C742" s="5">
        <v>0.74000000000000099</v>
      </c>
      <c r="D742" s="6" t="s">
        <v>6208</v>
      </c>
    </row>
    <row r="743" spans="1:4" x14ac:dyDescent="0.25">
      <c r="A743" s="7" t="s">
        <v>5688</v>
      </c>
      <c r="B743" s="8" t="s">
        <v>5689</v>
      </c>
      <c r="C743" s="8">
        <v>0.74100000000000099</v>
      </c>
      <c r="D743" s="16" t="s">
        <v>6208</v>
      </c>
    </row>
    <row r="744" spans="1:4" x14ac:dyDescent="0.25">
      <c r="A744" s="4" t="s">
        <v>5690</v>
      </c>
      <c r="B744" s="5" t="s">
        <v>5691</v>
      </c>
      <c r="C744" s="5">
        <v>0.74200000000000099</v>
      </c>
      <c r="D744" s="6" t="s">
        <v>6208</v>
      </c>
    </row>
    <row r="745" spans="1:4" x14ac:dyDescent="0.25">
      <c r="A745" s="7" t="s">
        <v>5692</v>
      </c>
      <c r="B745" s="8" t="s">
        <v>5693</v>
      </c>
      <c r="C745" s="8">
        <v>0.74300000000000099</v>
      </c>
      <c r="D745" s="16" t="s">
        <v>6208</v>
      </c>
    </row>
    <row r="746" spans="1:4" x14ac:dyDescent="0.25">
      <c r="A746" s="4" t="s">
        <v>5694</v>
      </c>
      <c r="B746" s="5" t="s">
        <v>5695</v>
      </c>
      <c r="C746" s="5">
        <v>0.74400000000000099</v>
      </c>
      <c r="D746" s="6" t="s">
        <v>6208</v>
      </c>
    </row>
    <row r="747" spans="1:4" x14ac:dyDescent="0.25">
      <c r="A747" s="7" t="s">
        <v>5696</v>
      </c>
      <c r="B747" s="8" t="s">
        <v>5697</v>
      </c>
      <c r="C747" s="8">
        <v>0.74500000000000099</v>
      </c>
      <c r="D747" s="16" t="s">
        <v>6208</v>
      </c>
    </row>
    <row r="748" spans="1:4" x14ac:dyDescent="0.25">
      <c r="A748" s="4" t="s">
        <v>5698</v>
      </c>
      <c r="B748" s="5" t="s">
        <v>5699</v>
      </c>
      <c r="C748" s="5">
        <v>0.746000000000001</v>
      </c>
      <c r="D748" s="6" t="s">
        <v>6208</v>
      </c>
    </row>
    <row r="749" spans="1:4" x14ac:dyDescent="0.25">
      <c r="A749" s="7" t="s">
        <v>5700</v>
      </c>
      <c r="B749" s="8" t="s">
        <v>5701</v>
      </c>
      <c r="C749" s="8">
        <v>0.747000000000001</v>
      </c>
      <c r="D749" s="16" t="s">
        <v>6208</v>
      </c>
    </row>
    <row r="750" spans="1:4" x14ac:dyDescent="0.25">
      <c r="A750" s="4" t="s">
        <v>5702</v>
      </c>
      <c r="B750" s="5" t="s">
        <v>5703</v>
      </c>
      <c r="C750" s="5">
        <v>0.748000000000001</v>
      </c>
      <c r="D750" s="6" t="s">
        <v>6208</v>
      </c>
    </row>
    <row r="751" spans="1:4" x14ac:dyDescent="0.25">
      <c r="A751" s="7" t="s">
        <v>5704</v>
      </c>
      <c r="B751" s="8" t="s">
        <v>5705</v>
      </c>
      <c r="C751" s="8">
        <v>0.749000000000001</v>
      </c>
      <c r="D751" s="16" t="s">
        <v>6208</v>
      </c>
    </row>
    <row r="752" spans="1:4" x14ac:dyDescent="0.25">
      <c r="A752" s="4" t="s">
        <v>5706</v>
      </c>
      <c r="B752" s="5" t="s">
        <v>5707</v>
      </c>
      <c r="C752" s="5">
        <v>0.750000000000001</v>
      </c>
      <c r="D752" s="6" t="s">
        <v>6208</v>
      </c>
    </row>
    <row r="753" spans="1:4" x14ac:dyDescent="0.25">
      <c r="A753" s="7" t="s">
        <v>5708</v>
      </c>
      <c r="B753" s="8" t="s">
        <v>5709</v>
      </c>
      <c r="C753" s="8">
        <v>0.751000000000001</v>
      </c>
      <c r="D753" s="16" t="s">
        <v>6208</v>
      </c>
    </row>
    <row r="754" spans="1:4" x14ac:dyDescent="0.25">
      <c r="A754" s="4" t="s">
        <v>5710</v>
      </c>
      <c r="B754" s="5" t="s">
        <v>5711</v>
      </c>
      <c r="C754" s="5">
        <v>0.752000000000001</v>
      </c>
      <c r="D754" s="6" t="s">
        <v>6208</v>
      </c>
    </row>
    <row r="755" spans="1:4" x14ac:dyDescent="0.25">
      <c r="A755" s="7" t="s">
        <v>5712</v>
      </c>
      <c r="B755" s="8" t="s">
        <v>5713</v>
      </c>
      <c r="C755" s="8">
        <v>0.753000000000001</v>
      </c>
      <c r="D755" s="16" t="s">
        <v>6208</v>
      </c>
    </row>
    <row r="756" spans="1:4" x14ac:dyDescent="0.25">
      <c r="A756" s="4" t="s">
        <v>5714</v>
      </c>
      <c r="B756" s="5" t="s">
        <v>5715</v>
      </c>
      <c r="C756" s="5">
        <v>0.754000000000001</v>
      </c>
      <c r="D756" s="6" t="s">
        <v>6208</v>
      </c>
    </row>
    <row r="757" spans="1:4" x14ac:dyDescent="0.25">
      <c r="A757" s="7" t="s">
        <v>5716</v>
      </c>
      <c r="B757" s="8" t="s">
        <v>5717</v>
      </c>
      <c r="C757" s="8">
        <v>0.755000000000001</v>
      </c>
      <c r="D757" s="16" t="s">
        <v>6208</v>
      </c>
    </row>
    <row r="758" spans="1:4" x14ac:dyDescent="0.25">
      <c r="A758" s="4" t="s">
        <v>5718</v>
      </c>
      <c r="B758" s="5" t="s">
        <v>5719</v>
      </c>
      <c r="C758" s="5">
        <v>0.756000000000001</v>
      </c>
      <c r="D758" s="6" t="s">
        <v>6208</v>
      </c>
    </row>
    <row r="759" spans="1:4" x14ac:dyDescent="0.25">
      <c r="A759" s="7" t="s">
        <v>5720</v>
      </c>
      <c r="B759" s="8" t="s">
        <v>5721</v>
      </c>
      <c r="C759" s="8">
        <v>0.75700000000000101</v>
      </c>
      <c r="D759" s="16" t="s">
        <v>6208</v>
      </c>
    </row>
    <row r="760" spans="1:4" x14ac:dyDescent="0.25">
      <c r="A760" s="4" t="s">
        <v>5722</v>
      </c>
      <c r="B760" s="5" t="s">
        <v>5723</v>
      </c>
      <c r="C760" s="5">
        <v>0.75800000000000101</v>
      </c>
      <c r="D760" s="6" t="s">
        <v>6208</v>
      </c>
    </row>
    <row r="761" spans="1:4" x14ac:dyDescent="0.25">
      <c r="A761" s="7" t="s">
        <v>5724</v>
      </c>
      <c r="B761" s="8" t="s">
        <v>5725</v>
      </c>
      <c r="C761" s="8">
        <v>0.75900000000000101</v>
      </c>
      <c r="D761" s="16" t="s">
        <v>6208</v>
      </c>
    </row>
    <row r="762" spans="1:4" x14ac:dyDescent="0.25">
      <c r="A762" s="4" t="s">
        <v>5726</v>
      </c>
      <c r="B762" s="5" t="s">
        <v>5727</v>
      </c>
      <c r="C762" s="5">
        <v>0.76000000000000101</v>
      </c>
      <c r="D762" s="6" t="s">
        <v>6208</v>
      </c>
    </row>
    <row r="763" spans="1:4" x14ac:dyDescent="0.25">
      <c r="A763" s="7" t="s">
        <v>5728</v>
      </c>
      <c r="B763" s="8" t="s">
        <v>5729</v>
      </c>
      <c r="C763" s="8">
        <v>0.76100000000000101</v>
      </c>
      <c r="D763" s="16" t="s">
        <v>6208</v>
      </c>
    </row>
    <row r="764" spans="1:4" x14ac:dyDescent="0.25">
      <c r="A764" s="4" t="s">
        <v>5730</v>
      </c>
      <c r="B764" s="5" t="s">
        <v>5731</v>
      </c>
      <c r="C764" s="5">
        <v>0.76200000000000101</v>
      </c>
      <c r="D764" s="6" t="s">
        <v>6208</v>
      </c>
    </row>
    <row r="765" spans="1:4" x14ac:dyDescent="0.25">
      <c r="A765" s="7" t="s">
        <v>5732</v>
      </c>
      <c r="B765" s="8" t="s">
        <v>5733</v>
      </c>
      <c r="C765" s="8">
        <v>0.76300000000000101</v>
      </c>
      <c r="D765" s="16" t="s">
        <v>6208</v>
      </c>
    </row>
    <row r="766" spans="1:4" x14ac:dyDescent="0.25">
      <c r="A766" s="4" t="s">
        <v>5734</v>
      </c>
      <c r="B766" s="5" t="s">
        <v>5735</v>
      </c>
      <c r="C766" s="5">
        <v>0.76400000000000101</v>
      </c>
      <c r="D766" s="6" t="s">
        <v>6208</v>
      </c>
    </row>
    <row r="767" spans="1:4" x14ac:dyDescent="0.25">
      <c r="A767" s="7" t="s">
        <v>5736</v>
      </c>
      <c r="B767" s="8" t="s">
        <v>5737</v>
      </c>
      <c r="C767" s="8">
        <v>0.76500000000000101</v>
      </c>
      <c r="D767" s="16" t="s">
        <v>6208</v>
      </c>
    </row>
    <row r="768" spans="1:4" x14ac:dyDescent="0.25">
      <c r="A768" s="4" t="s">
        <v>5738</v>
      </c>
      <c r="B768" s="5" t="s">
        <v>5739</v>
      </c>
      <c r="C768" s="5">
        <v>0.76600000000000101</v>
      </c>
      <c r="D768" s="6" t="s">
        <v>6208</v>
      </c>
    </row>
    <row r="769" spans="1:4" x14ac:dyDescent="0.25">
      <c r="A769" s="7" t="s">
        <v>5740</v>
      </c>
      <c r="B769" s="8" t="s">
        <v>5741</v>
      </c>
      <c r="C769" s="8">
        <v>0.76700000000000101</v>
      </c>
      <c r="D769" s="16" t="s">
        <v>6208</v>
      </c>
    </row>
    <row r="770" spans="1:4" x14ac:dyDescent="0.25">
      <c r="A770" s="4" t="s">
        <v>5742</v>
      </c>
      <c r="B770" s="5" t="s">
        <v>5743</v>
      </c>
      <c r="C770" s="5">
        <v>0.76800000000000102</v>
      </c>
      <c r="D770" s="6" t="s">
        <v>6208</v>
      </c>
    </row>
    <row r="771" spans="1:4" x14ac:dyDescent="0.25">
      <c r="A771" s="7" t="s">
        <v>5744</v>
      </c>
      <c r="B771" s="8" t="s">
        <v>5745</v>
      </c>
      <c r="C771" s="8">
        <v>0.76900000000000102</v>
      </c>
      <c r="D771" s="16" t="s">
        <v>6208</v>
      </c>
    </row>
    <row r="772" spans="1:4" x14ac:dyDescent="0.25">
      <c r="A772" s="4" t="s">
        <v>5746</v>
      </c>
      <c r="B772" s="5" t="s">
        <v>5747</v>
      </c>
      <c r="C772" s="5">
        <v>0.77000000000000102</v>
      </c>
      <c r="D772" s="6" t="s">
        <v>6208</v>
      </c>
    </row>
    <row r="773" spans="1:4" x14ac:dyDescent="0.25">
      <c r="A773" s="7" t="s">
        <v>5748</v>
      </c>
      <c r="B773" s="8" t="s">
        <v>5749</v>
      </c>
      <c r="C773" s="8">
        <v>0.77100000000000102</v>
      </c>
      <c r="D773" s="16" t="s">
        <v>6208</v>
      </c>
    </row>
    <row r="774" spans="1:4" x14ac:dyDescent="0.25">
      <c r="A774" s="4" t="s">
        <v>5750</v>
      </c>
      <c r="B774" s="5" t="s">
        <v>5751</v>
      </c>
      <c r="C774" s="5">
        <v>0.77200000000000102</v>
      </c>
      <c r="D774" s="6" t="s">
        <v>6208</v>
      </c>
    </row>
    <row r="775" spans="1:4" x14ac:dyDescent="0.25">
      <c r="A775" s="7" t="s">
        <v>5752</v>
      </c>
      <c r="B775" s="8" t="s">
        <v>5753</v>
      </c>
      <c r="C775" s="8">
        <v>0.77300000000000102</v>
      </c>
      <c r="D775" s="16" t="s">
        <v>6208</v>
      </c>
    </row>
    <row r="776" spans="1:4" x14ac:dyDescent="0.25">
      <c r="A776" s="4" t="s">
        <v>5754</v>
      </c>
      <c r="B776" s="5" t="s">
        <v>5755</v>
      </c>
      <c r="C776" s="5">
        <v>0.77400000000000102</v>
      </c>
      <c r="D776" s="6" t="s">
        <v>6208</v>
      </c>
    </row>
    <row r="777" spans="1:4" x14ac:dyDescent="0.25">
      <c r="A777" s="7" t="s">
        <v>5756</v>
      </c>
      <c r="B777" s="8" t="s">
        <v>5757</v>
      </c>
      <c r="C777" s="8">
        <v>0.77500000000000102</v>
      </c>
      <c r="D777" s="16" t="s">
        <v>6208</v>
      </c>
    </row>
    <row r="778" spans="1:4" x14ac:dyDescent="0.25">
      <c r="A778" s="4" t="s">
        <v>5758</v>
      </c>
      <c r="B778" s="5" t="s">
        <v>5759</v>
      </c>
      <c r="C778" s="5">
        <v>0.77600000000000102</v>
      </c>
      <c r="D778" s="6" t="s">
        <v>6208</v>
      </c>
    </row>
    <row r="779" spans="1:4" x14ac:dyDescent="0.25">
      <c r="A779" s="7" t="s">
        <v>5760</v>
      </c>
      <c r="B779" s="8" t="s">
        <v>5761</v>
      </c>
      <c r="C779" s="8">
        <v>0.77700000000000102</v>
      </c>
      <c r="D779" s="16" t="s">
        <v>6208</v>
      </c>
    </row>
    <row r="780" spans="1:4" x14ac:dyDescent="0.25">
      <c r="A780" s="4" t="s">
        <v>5762</v>
      </c>
      <c r="B780" s="5" t="s">
        <v>5763</v>
      </c>
      <c r="C780" s="5">
        <v>0.77800000000000102</v>
      </c>
      <c r="D780" s="6" t="s">
        <v>6208</v>
      </c>
    </row>
    <row r="781" spans="1:4" x14ac:dyDescent="0.25">
      <c r="A781" s="7" t="s">
        <v>5764</v>
      </c>
      <c r="B781" s="8" t="s">
        <v>5765</v>
      </c>
      <c r="C781" s="8">
        <v>0.77900000000000102</v>
      </c>
      <c r="D781" s="16" t="s">
        <v>6208</v>
      </c>
    </row>
    <row r="782" spans="1:4" x14ac:dyDescent="0.25">
      <c r="A782" s="4" t="s">
        <v>5766</v>
      </c>
      <c r="B782" s="5" t="s">
        <v>5767</v>
      </c>
      <c r="C782" s="5">
        <v>0.78000000000000103</v>
      </c>
      <c r="D782" s="6" t="s">
        <v>6208</v>
      </c>
    </row>
    <row r="783" spans="1:4" x14ac:dyDescent="0.25">
      <c r="A783" s="7" t="s">
        <v>5768</v>
      </c>
      <c r="B783" s="8" t="s">
        <v>5769</v>
      </c>
      <c r="C783" s="8">
        <v>0.78100000000000103</v>
      </c>
      <c r="D783" s="16" t="s">
        <v>6208</v>
      </c>
    </row>
    <row r="784" spans="1:4" x14ac:dyDescent="0.25">
      <c r="A784" s="4" t="s">
        <v>5770</v>
      </c>
      <c r="B784" s="5" t="s">
        <v>5771</v>
      </c>
      <c r="C784" s="5">
        <v>0.78200000000000103</v>
      </c>
      <c r="D784" s="6" t="s">
        <v>6208</v>
      </c>
    </row>
    <row r="785" spans="1:4" x14ac:dyDescent="0.25">
      <c r="A785" s="7" t="s">
        <v>5772</v>
      </c>
      <c r="B785" s="8" t="s">
        <v>5773</v>
      </c>
      <c r="C785" s="8">
        <v>0.78300000000000103</v>
      </c>
      <c r="D785" s="16" t="s">
        <v>6208</v>
      </c>
    </row>
    <row r="786" spans="1:4" x14ac:dyDescent="0.25">
      <c r="A786" s="4" t="s">
        <v>5774</v>
      </c>
      <c r="B786" s="5" t="s">
        <v>5775</v>
      </c>
      <c r="C786" s="5">
        <v>0.78400000000000103</v>
      </c>
      <c r="D786" s="6" t="s">
        <v>6208</v>
      </c>
    </row>
    <row r="787" spans="1:4" x14ac:dyDescent="0.25">
      <c r="A787" s="7" t="s">
        <v>5776</v>
      </c>
      <c r="B787" s="8" t="s">
        <v>5777</v>
      </c>
      <c r="C787" s="8">
        <v>0.78500000000000103</v>
      </c>
      <c r="D787" s="16" t="s">
        <v>6208</v>
      </c>
    </row>
    <row r="788" spans="1:4" x14ac:dyDescent="0.25">
      <c r="A788" s="4" t="s">
        <v>5778</v>
      </c>
      <c r="B788" s="5" t="s">
        <v>5779</v>
      </c>
      <c r="C788" s="5">
        <v>0.78600000000000103</v>
      </c>
      <c r="D788" s="6" t="s">
        <v>6208</v>
      </c>
    </row>
    <row r="789" spans="1:4" x14ac:dyDescent="0.25">
      <c r="A789" s="7" t="s">
        <v>5780</v>
      </c>
      <c r="B789" s="8" t="s">
        <v>5781</v>
      </c>
      <c r="C789" s="8">
        <v>0.78700000000000103</v>
      </c>
      <c r="D789" s="16" t="s">
        <v>6208</v>
      </c>
    </row>
    <row r="790" spans="1:4" x14ac:dyDescent="0.25">
      <c r="A790" s="4" t="s">
        <v>5782</v>
      </c>
      <c r="B790" s="5" t="s">
        <v>5783</v>
      </c>
      <c r="C790" s="5">
        <v>0.78800000000000103</v>
      </c>
      <c r="D790" s="6" t="s">
        <v>6208</v>
      </c>
    </row>
    <row r="791" spans="1:4" x14ac:dyDescent="0.25">
      <c r="A791" s="7" t="s">
        <v>5784</v>
      </c>
      <c r="B791" s="8" t="s">
        <v>5785</v>
      </c>
      <c r="C791" s="8">
        <v>0.78900000000000103</v>
      </c>
      <c r="D791" s="16" t="s">
        <v>6208</v>
      </c>
    </row>
    <row r="792" spans="1:4" x14ac:dyDescent="0.25">
      <c r="A792" s="4" t="s">
        <v>5786</v>
      </c>
      <c r="B792" s="5" t="s">
        <v>5787</v>
      </c>
      <c r="C792" s="5">
        <v>0.79000000000000103</v>
      </c>
      <c r="D792" s="6" t="s">
        <v>6208</v>
      </c>
    </row>
    <row r="793" spans="1:4" x14ac:dyDescent="0.25">
      <c r="A793" s="7" t="s">
        <v>5788</v>
      </c>
      <c r="B793" s="8" t="s">
        <v>5789</v>
      </c>
      <c r="C793" s="8">
        <v>0.79100000000000104</v>
      </c>
      <c r="D793" s="16" t="s">
        <v>6208</v>
      </c>
    </row>
    <row r="794" spans="1:4" x14ac:dyDescent="0.25">
      <c r="A794" s="4" t="s">
        <v>5790</v>
      </c>
      <c r="B794" s="5" t="s">
        <v>5791</v>
      </c>
      <c r="C794" s="5">
        <v>0.79200000000000104</v>
      </c>
      <c r="D794" s="6" t="s">
        <v>6208</v>
      </c>
    </row>
    <row r="795" spans="1:4" x14ac:dyDescent="0.25">
      <c r="A795" s="7" t="s">
        <v>5792</v>
      </c>
      <c r="B795" s="8" t="s">
        <v>5793</v>
      </c>
      <c r="C795" s="8">
        <v>0.79300000000000104</v>
      </c>
      <c r="D795" s="16" t="s">
        <v>6208</v>
      </c>
    </row>
    <row r="796" spans="1:4" x14ac:dyDescent="0.25">
      <c r="A796" s="4" t="s">
        <v>5794</v>
      </c>
      <c r="B796" s="5" t="s">
        <v>5795</v>
      </c>
      <c r="C796" s="5">
        <v>0.79400000000000104</v>
      </c>
      <c r="D796" s="6" t="s">
        <v>6208</v>
      </c>
    </row>
    <row r="797" spans="1:4" x14ac:dyDescent="0.25">
      <c r="A797" s="7" t="s">
        <v>5796</v>
      </c>
      <c r="B797" s="8" t="s">
        <v>5797</v>
      </c>
      <c r="C797" s="8">
        <v>0.79500000000000104</v>
      </c>
      <c r="D797" s="16" t="s">
        <v>6208</v>
      </c>
    </row>
    <row r="798" spans="1:4" x14ac:dyDescent="0.25">
      <c r="A798" s="4" t="s">
        <v>5798</v>
      </c>
      <c r="B798" s="5" t="s">
        <v>5799</v>
      </c>
      <c r="C798" s="5">
        <v>0.79600000000000104</v>
      </c>
      <c r="D798" s="6" t="s">
        <v>6208</v>
      </c>
    </row>
    <row r="799" spans="1:4" x14ac:dyDescent="0.25">
      <c r="A799" s="7" t="s">
        <v>5800</v>
      </c>
      <c r="B799" s="8" t="s">
        <v>5801</v>
      </c>
      <c r="C799" s="8">
        <v>0.79700000000000104</v>
      </c>
      <c r="D799" s="16" t="s">
        <v>6208</v>
      </c>
    </row>
    <row r="800" spans="1:4" x14ac:dyDescent="0.25">
      <c r="A800" s="4" t="s">
        <v>5802</v>
      </c>
      <c r="B800" s="5" t="s">
        <v>5803</v>
      </c>
      <c r="C800" s="5">
        <v>0.79800000000000104</v>
      </c>
      <c r="D800" s="6" t="s">
        <v>6208</v>
      </c>
    </row>
    <row r="801" spans="1:4" x14ac:dyDescent="0.25">
      <c r="A801" s="7" t="s">
        <v>5804</v>
      </c>
      <c r="B801" s="8" t="s">
        <v>5805</v>
      </c>
      <c r="C801" s="8">
        <v>0.79900000000000104</v>
      </c>
      <c r="D801" s="16" t="s">
        <v>6208</v>
      </c>
    </row>
    <row r="802" spans="1:4" x14ac:dyDescent="0.25">
      <c r="A802" s="4" t="s">
        <v>5806</v>
      </c>
      <c r="B802" s="5" t="s">
        <v>5807</v>
      </c>
      <c r="C802" s="5">
        <v>0.80000000000000104</v>
      </c>
      <c r="D802" s="6" t="s">
        <v>6208</v>
      </c>
    </row>
    <row r="803" spans="1:4" x14ac:dyDescent="0.25">
      <c r="A803" s="7" t="s">
        <v>5808</v>
      </c>
      <c r="B803" s="8" t="s">
        <v>5809</v>
      </c>
      <c r="C803" s="8">
        <v>0.80100000000000104</v>
      </c>
      <c r="D803" s="16" t="s">
        <v>6208</v>
      </c>
    </row>
    <row r="804" spans="1:4" x14ac:dyDescent="0.25">
      <c r="A804" s="4" t="s">
        <v>5810</v>
      </c>
      <c r="B804" s="5" t="s">
        <v>5811</v>
      </c>
      <c r="C804" s="5">
        <v>0.80200000000000105</v>
      </c>
      <c r="D804" s="6" t="s">
        <v>6208</v>
      </c>
    </row>
    <row r="805" spans="1:4" x14ac:dyDescent="0.25">
      <c r="A805" s="7" t="s">
        <v>5812</v>
      </c>
      <c r="B805" s="8" t="s">
        <v>5813</v>
      </c>
      <c r="C805" s="8">
        <v>0.80300000000000105</v>
      </c>
      <c r="D805" s="16" t="s">
        <v>6208</v>
      </c>
    </row>
    <row r="806" spans="1:4" x14ac:dyDescent="0.25">
      <c r="A806" s="4" t="s">
        <v>5814</v>
      </c>
      <c r="B806" s="5" t="s">
        <v>5815</v>
      </c>
      <c r="C806" s="5">
        <v>0.80400000000000105</v>
      </c>
      <c r="D806" s="6" t="s">
        <v>6208</v>
      </c>
    </row>
    <row r="807" spans="1:4" x14ac:dyDescent="0.25">
      <c r="A807" s="7" t="s">
        <v>5816</v>
      </c>
      <c r="B807" s="8" t="s">
        <v>5817</v>
      </c>
      <c r="C807" s="8">
        <v>0.80500000000000105</v>
      </c>
      <c r="D807" s="16" t="s">
        <v>6208</v>
      </c>
    </row>
    <row r="808" spans="1:4" x14ac:dyDescent="0.25">
      <c r="A808" s="4" t="s">
        <v>5818</v>
      </c>
      <c r="B808" s="5" t="s">
        <v>5819</v>
      </c>
      <c r="C808" s="5">
        <v>0.80600000000000105</v>
      </c>
      <c r="D808" s="6" t="s">
        <v>6208</v>
      </c>
    </row>
    <row r="809" spans="1:4" x14ac:dyDescent="0.25">
      <c r="A809" s="7" t="s">
        <v>5820</v>
      </c>
      <c r="B809" s="8" t="s">
        <v>5821</v>
      </c>
      <c r="C809" s="8">
        <v>0.80700000000000105</v>
      </c>
      <c r="D809" s="16" t="s">
        <v>6208</v>
      </c>
    </row>
    <row r="810" spans="1:4" x14ac:dyDescent="0.25">
      <c r="A810" s="4" t="s">
        <v>5822</v>
      </c>
      <c r="B810" s="5" t="s">
        <v>5823</v>
      </c>
      <c r="C810" s="5">
        <v>0.80800000000000105</v>
      </c>
      <c r="D810" s="6" t="s">
        <v>6208</v>
      </c>
    </row>
    <row r="811" spans="1:4" x14ac:dyDescent="0.25">
      <c r="A811" s="7" t="s">
        <v>5824</v>
      </c>
      <c r="B811" s="8" t="s">
        <v>5825</v>
      </c>
      <c r="C811" s="8">
        <v>0.80900000000000105</v>
      </c>
      <c r="D811" s="16" t="s">
        <v>6208</v>
      </c>
    </row>
    <row r="812" spans="1:4" x14ac:dyDescent="0.25">
      <c r="A812" s="4" t="s">
        <v>5826</v>
      </c>
      <c r="B812" s="5" t="s">
        <v>5827</v>
      </c>
      <c r="C812" s="5">
        <v>0.81000000000000105</v>
      </c>
      <c r="D812" s="6" t="s">
        <v>6208</v>
      </c>
    </row>
    <row r="813" spans="1:4" x14ac:dyDescent="0.25">
      <c r="A813" s="7" t="s">
        <v>5828</v>
      </c>
      <c r="B813" s="8" t="s">
        <v>5829</v>
      </c>
      <c r="C813" s="8">
        <v>0.81100000000000105</v>
      </c>
      <c r="D813" s="16" t="s">
        <v>6208</v>
      </c>
    </row>
    <row r="814" spans="1:4" x14ac:dyDescent="0.25">
      <c r="A814" s="4" t="s">
        <v>5830</v>
      </c>
      <c r="B814" s="5" t="s">
        <v>5831</v>
      </c>
      <c r="C814" s="5">
        <v>0.81200000000000105</v>
      </c>
      <c r="D814" s="6" t="s">
        <v>6208</v>
      </c>
    </row>
    <row r="815" spans="1:4" x14ac:dyDescent="0.25">
      <c r="A815" s="7" t="s">
        <v>5832</v>
      </c>
      <c r="B815" s="8" t="s">
        <v>5833</v>
      </c>
      <c r="C815" s="8">
        <v>0.81300000000000106</v>
      </c>
      <c r="D815" s="16" t="s">
        <v>6208</v>
      </c>
    </row>
    <row r="816" spans="1:4" x14ac:dyDescent="0.25">
      <c r="A816" s="4" t="s">
        <v>5834</v>
      </c>
      <c r="B816" s="5" t="s">
        <v>5835</v>
      </c>
      <c r="C816" s="5">
        <v>0.81400000000000095</v>
      </c>
      <c r="D816" s="6" t="s">
        <v>6208</v>
      </c>
    </row>
    <row r="817" spans="1:4" x14ac:dyDescent="0.25">
      <c r="A817" s="7" t="s">
        <v>5836</v>
      </c>
      <c r="B817" s="8" t="s">
        <v>5837</v>
      </c>
      <c r="C817" s="8">
        <v>0.81500000000000095</v>
      </c>
      <c r="D817" s="16" t="s">
        <v>6208</v>
      </c>
    </row>
    <row r="818" spans="1:4" x14ac:dyDescent="0.25">
      <c r="A818" s="4" t="s">
        <v>5838</v>
      </c>
      <c r="B818" s="5" t="s">
        <v>5839</v>
      </c>
      <c r="C818" s="5">
        <v>0.81600000000000095</v>
      </c>
      <c r="D818" s="6" t="s">
        <v>6208</v>
      </c>
    </row>
    <row r="819" spans="1:4" x14ac:dyDescent="0.25">
      <c r="A819" s="7" t="s">
        <v>5840</v>
      </c>
      <c r="B819" s="8" t="s">
        <v>5841</v>
      </c>
      <c r="C819" s="8">
        <v>0.81700000000000095</v>
      </c>
      <c r="D819" s="16" t="s">
        <v>6208</v>
      </c>
    </row>
    <row r="820" spans="1:4" x14ac:dyDescent="0.25">
      <c r="A820" s="4" t="s">
        <v>5842</v>
      </c>
      <c r="B820" s="5" t="s">
        <v>5843</v>
      </c>
      <c r="C820" s="5">
        <v>0.81800000000000095</v>
      </c>
      <c r="D820" s="6" t="s">
        <v>6208</v>
      </c>
    </row>
    <row r="821" spans="1:4" x14ac:dyDescent="0.25">
      <c r="A821" s="7" t="s">
        <v>5844</v>
      </c>
      <c r="B821" s="8" t="s">
        <v>5845</v>
      </c>
      <c r="C821" s="8">
        <v>0.81900000000000095</v>
      </c>
      <c r="D821" s="16" t="s">
        <v>6208</v>
      </c>
    </row>
    <row r="822" spans="1:4" x14ac:dyDescent="0.25">
      <c r="A822" s="4" t="s">
        <v>5846</v>
      </c>
      <c r="B822" s="5" t="s">
        <v>5847</v>
      </c>
      <c r="C822" s="5">
        <v>0.82000000000000095</v>
      </c>
      <c r="D822" s="6" t="s">
        <v>6208</v>
      </c>
    </row>
    <row r="823" spans="1:4" x14ac:dyDescent="0.25">
      <c r="A823" s="7" t="s">
        <v>5848</v>
      </c>
      <c r="B823" s="8" t="s">
        <v>5849</v>
      </c>
      <c r="C823" s="8">
        <v>0.82100000000000095</v>
      </c>
      <c r="D823" s="16" t="s">
        <v>6208</v>
      </c>
    </row>
    <row r="824" spans="1:4" x14ac:dyDescent="0.25">
      <c r="A824" s="4" t="s">
        <v>5850</v>
      </c>
      <c r="B824" s="5" t="s">
        <v>5851</v>
      </c>
      <c r="C824" s="5">
        <v>0.82200000000000095</v>
      </c>
      <c r="D824" s="6" t="s">
        <v>6208</v>
      </c>
    </row>
    <row r="825" spans="1:4" x14ac:dyDescent="0.25">
      <c r="A825" s="7" t="s">
        <v>5852</v>
      </c>
      <c r="B825" s="8" t="s">
        <v>5853</v>
      </c>
      <c r="C825" s="8">
        <v>0.82300000000000095</v>
      </c>
      <c r="D825" s="16" t="s">
        <v>6208</v>
      </c>
    </row>
    <row r="826" spans="1:4" x14ac:dyDescent="0.25">
      <c r="A826" s="4" t="s">
        <v>5854</v>
      </c>
      <c r="B826" s="5" t="s">
        <v>5855</v>
      </c>
      <c r="C826" s="5">
        <v>0.82400000000000095</v>
      </c>
      <c r="D826" s="6" t="s">
        <v>6208</v>
      </c>
    </row>
    <row r="827" spans="1:4" x14ac:dyDescent="0.25">
      <c r="A827" s="7" t="s">
        <v>5856</v>
      </c>
      <c r="B827" s="8" t="s">
        <v>5857</v>
      </c>
      <c r="C827" s="8">
        <v>0.82500000000000095</v>
      </c>
      <c r="D827" s="16" t="s">
        <v>6208</v>
      </c>
    </row>
    <row r="828" spans="1:4" x14ac:dyDescent="0.25">
      <c r="A828" s="4" t="s">
        <v>5858</v>
      </c>
      <c r="B828" s="5" t="s">
        <v>5859</v>
      </c>
      <c r="C828" s="5">
        <v>0.82600000000000096</v>
      </c>
      <c r="D828" s="6" t="s">
        <v>6208</v>
      </c>
    </row>
    <row r="829" spans="1:4" x14ac:dyDescent="0.25">
      <c r="A829" s="7" t="s">
        <v>5860</v>
      </c>
      <c r="B829" s="8" t="s">
        <v>5861</v>
      </c>
      <c r="C829" s="8">
        <v>0.82700000000000096</v>
      </c>
      <c r="D829" s="16" t="s">
        <v>6208</v>
      </c>
    </row>
    <row r="830" spans="1:4" x14ac:dyDescent="0.25">
      <c r="A830" s="4" t="s">
        <v>5862</v>
      </c>
      <c r="B830" s="5" t="s">
        <v>5863</v>
      </c>
      <c r="C830" s="5">
        <v>0.82800000000000096</v>
      </c>
      <c r="D830" s="6" t="s">
        <v>6208</v>
      </c>
    </row>
    <row r="831" spans="1:4" x14ac:dyDescent="0.25">
      <c r="A831" s="7" t="s">
        <v>5864</v>
      </c>
      <c r="B831" s="8" t="s">
        <v>5865</v>
      </c>
      <c r="C831" s="8">
        <v>0.82900000000000096</v>
      </c>
      <c r="D831" s="16" t="s">
        <v>6208</v>
      </c>
    </row>
    <row r="832" spans="1:4" x14ac:dyDescent="0.25">
      <c r="A832" s="4" t="s">
        <v>5866</v>
      </c>
      <c r="B832" s="5" t="s">
        <v>5867</v>
      </c>
      <c r="C832" s="5">
        <v>0.83000000000000096</v>
      </c>
      <c r="D832" s="6" t="s">
        <v>6208</v>
      </c>
    </row>
    <row r="833" spans="1:4" x14ac:dyDescent="0.25">
      <c r="A833" s="7" t="s">
        <v>5868</v>
      </c>
      <c r="B833" s="8" t="s">
        <v>5869</v>
      </c>
      <c r="C833" s="8">
        <v>0.83100000000000096</v>
      </c>
      <c r="D833" s="16" t="s">
        <v>6208</v>
      </c>
    </row>
    <row r="834" spans="1:4" x14ac:dyDescent="0.25">
      <c r="A834" s="4" t="s">
        <v>5870</v>
      </c>
      <c r="B834" s="5" t="s">
        <v>5871</v>
      </c>
      <c r="C834" s="5">
        <v>0.83200000000000096</v>
      </c>
      <c r="D834" s="6" t="s">
        <v>6208</v>
      </c>
    </row>
    <row r="835" spans="1:4" x14ac:dyDescent="0.25">
      <c r="A835" s="7" t="s">
        <v>5872</v>
      </c>
      <c r="B835" s="8" t="s">
        <v>5873</v>
      </c>
      <c r="C835" s="8">
        <v>0.83300000000000096</v>
      </c>
      <c r="D835" s="16" t="s">
        <v>6208</v>
      </c>
    </row>
    <row r="836" spans="1:4" x14ac:dyDescent="0.25">
      <c r="A836" s="4" t="s">
        <v>5874</v>
      </c>
      <c r="B836" s="5" t="s">
        <v>5875</v>
      </c>
      <c r="C836" s="5">
        <v>0.83400000000000096</v>
      </c>
      <c r="D836" s="6" t="s">
        <v>6208</v>
      </c>
    </row>
    <row r="837" spans="1:4" x14ac:dyDescent="0.25">
      <c r="A837" s="7" t="s">
        <v>5876</v>
      </c>
      <c r="B837" s="8" t="s">
        <v>5877</v>
      </c>
      <c r="C837" s="8">
        <v>0.83500000000000096</v>
      </c>
      <c r="D837" s="16" t="s">
        <v>6208</v>
      </c>
    </row>
    <row r="838" spans="1:4" x14ac:dyDescent="0.25">
      <c r="A838" s="4" t="s">
        <v>5878</v>
      </c>
      <c r="B838" s="5" t="s">
        <v>5879</v>
      </c>
      <c r="C838" s="5">
        <v>0.83600000000000096</v>
      </c>
      <c r="D838" s="6" t="s">
        <v>6208</v>
      </c>
    </row>
    <row r="839" spans="1:4" x14ac:dyDescent="0.25">
      <c r="A839" s="7" t="s">
        <v>5880</v>
      </c>
      <c r="B839" s="8" t="s">
        <v>5881</v>
      </c>
      <c r="C839" s="8">
        <v>0.83700000000000097</v>
      </c>
      <c r="D839" s="16" t="s">
        <v>6208</v>
      </c>
    </row>
    <row r="840" spans="1:4" x14ac:dyDescent="0.25">
      <c r="A840" s="4" t="s">
        <v>5882</v>
      </c>
      <c r="B840" s="5" t="s">
        <v>5883</v>
      </c>
      <c r="C840" s="5">
        <v>0.83800000000000097</v>
      </c>
      <c r="D840" s="6" t="s">
        <v>6208</v>
      </c>
    </row>
    <row r="841" spans="1:4" x14ac:dyDescent="0.25">
      <c r="A841" s="7" t="s">
        <v>5884</v>
      </c>
      <c r="B841" s="8" t="s">
        <v>5885</v>
      </c>
      <c r="C841" s="8">
        <v>0.83900000000000097</v>
      </c>
      <c r="D841" s="16" t="s">
        <v>6208</v>
      </c>
    </row>
    <row r="842" spans="1:4" x14ac:dyDescent="0.25">
      <c r="A842" s="4" t="s">
        <v>5886</v>
      </c>
      <c r="B842" s="5" t="s">
        <v>5887</v>
      </c>
      <c r="C842" s="5">
        <v>0.84000000000000097</v>
      </c>
      <c r="D842" s="6" t="s">
        <v>6208</v>
      </c>
    </row>
    <row r="843" spans="1:4" x14ac:dyDescent="0.25">
      <c r="A843" s="7" t="s">
        <v>5888</v>
      </c>
      <c r="B843" s="8" t="s">
        <v>5889</v>
      </c>
      <c r="C843" s="8">
        <v>0.84100000000000097</v>
      </c>
      <c r="D843" s="16" t="s">
        <v>6208</v>
      </c>
    </row>
    <row r="844" spans="1:4" x14ac:dyDescent="0.25">
      <c r="A844" s="4" t="s">
        <v>5890</v>
      </c>
      <c r="B844" s="5" t="s">
        <v>5891</v>
      </c>
      <c r="C844" s="5">
        <v>0.84200000000000097</v>
      </c>
      <c r="D844" s="6" t="s">
        <v>6208</v>
      </c>
    </row>
    <row r="845" spans="1:4" x14ac:dyDescent="0.25">
      <c r="A845" s="7" t="s">
        <v>5892</v>
      </c>
      <c r="B845" s="8" t="s">
        <v>5893</v>
      </c>
      <c r="C845" s="8">
        <v>0.84300000000000097</v>
      </c>
      <c r="D845" s="16" t="s">
        <v>6208</v>
      </c>
    </row>
    <row r="846" spans="1:4" x14ac:dyDescent="0.25">
      <c r="A846" s="4" t="s">
        <v>5894</v>
      </c>
      <c r="B846" s="5" t="s">
        <v>5895</v>
      </c>
      <c r="C846" s="5">
        <v>0.84400000000000097</v>
      </c>
      <c r="D846" s="6" t="s">
        <v>6208</v>
      </c>
    </row>
    <row r="847" spans="1:4" x14ac:dyDescent="0.25">
      <c r="A847" s="7" t="s">
        <v>5896</v>
      </c>
      <c r="B847" s="8" t="s">
        <v>5897</v>
      </c>
      <c r="C847" s="8">
        <v>0.84500000000000097</v>
      </c>
      <c r="D847" s="16" t="s">
        <v>6208</v>
      </c>
    </row>
    <row r="848" spans="1:4" x14ac:dyDescent="0.25">
      <c r="A848" s="4" t="s">
        <v>5898</v>
      </c>
      <c r="B848" s="5" t="s">
        <v>5899</v>
      </c>
      <c r="C848" s="5">
        <v>0.84600000000000097</v>
      </c>
      <c r="D848" s="6" t="s">
        <v>6208</v>
      </c>
    </row>
    <row r="849" spans="1:4" x14ac:dyDescent="0.25">
      <c r="A849" s="7" t="s">
        <v>5900</v>
      </c>
      <c r="B849" s="8" t="s">
        <v>5901</v>
      </c>
      <c r="C849" s="8">
        <v>0.84700000000000097</v>
      </c>
      <c r="D849" s="16" t="s">
        <v>6208</v>
      </c>
    </row>
    <row r="850" spans="1:4" x14ac:dyDescent="0.25">
      <c r="A850" s="4" t="s">
        <v>5902</v>
      </c>
      <c r="B850" s="5" t="s">
        <v>5903</v>
      </c>
      <c r="C850" s="5">
        <v>0.84800000000000098</v>
      </c>
      <c r="D850" s="6" t="s">
        <v>6208</v>
      </c>
    </row>
    <row r="851" spans="1:4" x14ac:dyDescent="0.25">
      <c r="A851" s="7" t="s">
        <v>5904</v>
      </c>
      <c r="B851" s="8" t="s">
        <v>5905</v>
      </c>
      <c r="C851" s="8">
        <v>0.84900000000000098</v>
      </c>
      <c r="D851" s="16" t="s">
        <v>6208</v>
      </c>
    </row>
    <row r="852" spans="1:4" x14ac:dyDescent="0.25">
      <c r="A852" s="4" t="s">
        <v>5906</v>
      </c>
      <c r="B852" s="5" t="s">
        <v>5907</v>
      </c>
      <c r="C852" s="5">
        <v>0.85000000000000098</v>
      </c>
      <c r="D852" s="6" t="s">
        <v>6208</v>
      </c>
    </row>
    <row r="853" spans="1:4" x14ac:dyDescent="0.25">
      <c r="A853" s="7" t="s">
        <v>5908</v>
      </c>
      <c r="B853" s="8" t="s">
        <v>5909</v>
      </c>
      <c r="C853" s="8">
        <v>0.85100000000000098</v>
      </c>
      <c r="D853" s="16" t="s">
        <v>6208</v>
      </c>
    </row>
    <row r="854" spans="1:4" x14ac:dyDescent="0.25">
      <c r="A854" s="4" t="s">
        <v>5910</v>
      </c>
      <c r="B854" s="5" t="s">
        <v>5911</v>
      </c>
      <c r="C854" s="5">
        <v>0.85200000000000098</v>
      </c>
      <c r="D854" s="6" t="s">
        <v>6208</v>
      </c>
    </row>
    <row r="855" spans="1:4" x14ac:dyDescent="0.25">
      <c r="A855" s="7" t="s">
        <v>5912</v>
      </c>
      <c r="B855" s="8" t="s">
        <v>5913</v>
      </c>
      <c r="C855" s="8">
        <v>0.85300000000000098</v>
      </c>
      <c r="D855" s="16" t="s">
        <v>6208</v>
      </c>
    </row>
    <row r="856" spans="1:4" x14ac:dyDescent="0.25">
      <c r="A856" s="4" t="s">
        <v>5914</v>
      </c>
      <c r="B856" s="5" t="s">
        <v>5915</v>
      </c>
      <c r="C856" s="5">
        <v>0.85400000000000098</v>
      </c>
      <c r="D856" s="6" t="s">
        <v>6208</v>
      </c>
    </row>
    <row r="857" spans="1:4" x14ac:dyDescent="0.25">
      <c r="A857" s="7" t="s">
        <v>5916</v>
      </c>
      <c r="B857" s="8" t="s">
        <v>5917</v>
      </c>
      <c r="C857" s="8">
        <v>0.85500000000000098</v>
      </c>
      <c r="D857" s="16" t="s">
        <v>6208</v>
      </c>
    </row>
    <row r="858" spans="1:4" x14ac:dyDescent="0.25">
      <c r="A858" s="4" t="s">
        <v>5918</v>
      </c>
      <c r="B858" s="5" t="s">
        <v>5919</v>
      </c>
      <c r="C858" s="5">
        <v>0.85600000000000098</v>
      </c>
      <c r="D858" s="6" t="s">
        <v>6208</v>
      </c>
    </row>
    <row r="859" spans="1:4" x14ac:dyDescent="0.25">
      <c r="A859" s="7" t="s">
        <v>5920</v>
      </c>
      <c r="B859" s="8" t="s">
        <v>5921</v>
      </c>
      <c r="C859" s="8">
        <v>0.85700000000000098</v>
      </c>
      <c r="D859" s="16" t="s">
        <v>6208</v>
      </c>
    </row>
    <row r="860" spans="1:4" x14ac:dyDescent="0.25">
      <c r="A860" s="4" t="s">
        <v>5922</v>
      </c>
      <c r="B860" s="5" t="s">
        <v>5923</v>
      </c>
      <c r="C860" s="5">
        <v>0.85800000000000098</v>
      </c>
      <c r="D860" s="6" t="s">
        <v>6208</v>
      </c>
    </row>
    <row r="861" spans="1:4" x14ac:dyDescent="0.25">
      <c r="A861" s="7" t="s">
        <v>5924</v>
      </c>
      <c r="B861" s="8" t="s">
        <v>5925</v>
      </c>
      <c r="C861" s="8">
        <v>0.85900000000000098</v>
      </c>
      <c r="D861" s="16" t="s">
        <v>6208</v>
      </c>
    </row>
    <row r="862" spans="1:4" x14ac:dyDescent="0.25">
      <c r="A862" s="4" t="s">
        <v>5926</v>
      </c>
      <c r="B862" s="5" t="s">
        <v>5927</v>
      </c>
      <c r="C862" s="5">
        <v>0.86000000000000099</v>
      </c>
      <c r="D862" s="6" t="s">
        <v>6208</v>
      </c>
    </row>
    <row r="863" spans="1:4" x14ac:dyDescent="0.25">
      <c r="A863" s="7" t="s">
        <v>5928</v>
      </c>
      <c r="B863" s="8" t="s">
        <v>5929</v>
      </c>
      <c r="C863" s="8">
        <v>0.86100000000000099</v>
      </c>
      <c r="D863" s="16" t="s">
        <v>6208</v>
      </c>
    </row>
    <row r="864" spans="1:4" x14ac:dyDescent="0.25">
      <c r="A864" s="4" t="s">
        <v>5930</v>
      </c>
      <c r="B864" s="5" t="s">
        <v>5931</v>
      </c>
      <c r="C864" s="5">
        <v>0.86200000000000099</v>
      </c>
      <c r="D864" s="6" t="s">
        <v>6208</v>
      </c>
    </row>
    <row r="865" spans="1:4" x14ac:dyDescent="0.25">
      <c r="A865" s="7" t="s">
        <v>5932</v>
      </c>
      <c r="B865" s="8" t="s">
        <v>5933</v>
      </c>
      <c r="C865" s="8">
        <v>0.86300000000000099</v>
      </c>
      <c r="D865" s="16" t="s">
        <v>6208</v>
      </c>
    </row>
    <row r="866" spans="1:4" x14ac:dyDescent="0.25">
      <c r="A866" s="4" t="s">
        <v>5934</v>
      </c>
      <c r="B866" s="5" t="s">
        <v>5935</v>
      </c>
      <c r="C866" s="5">
        <v>0.86400000000000099</v>
      </c>
      <c r="D866" s="6" t="s">
        <v>6208</v>
      </c>
    </row>
    <row r="867" spans="1:4" x14ac:dyDescent="0.25">
      <c r="A867" s="7" t="s">
        <v>5936</v>
      </c>
      <c r="B867" s="8" t="s">
        <v>5937</v>
      </c>
      <c r="C867" s="8">
        <v>0.86500000000000099</v>
      </c>
      <c r="D867" s="16" t="s">
        <v>6208</v>
      </c>
    </row>
    <row r="868" spans="1:4" x14ac:dyDescent="0.25">
      <c r="A868" s="4" t="s">
        <v>5938</v>
      </c>
      <c r="B868" s="5" t="s">
        <v>5939</v>
      </c>
      <c r="C868" s="5">
        <v>0.86600000000000099</v>
      </c>
      <c r="D868" s="6" t="s">
        <v>6208</v>
      </c>
    </row>
    <row r="869" spans="1:4" x14ac:dyDescent="0.25">
      <c r="A869" s="7" t="s">
        <v>5940</v>
      </c>
      <c r="B869" s="8" t="s">
        <v>5941</v>
      </c>
      <c r="C869" s="8">
        <v>0.86700000000000099</v>
      </c>
      <c r="D869" s="16" t="s">
        <v>6208</v>
      </c>
    </row>
    <row r="870" spans="1:4" x14ac:dyDescent="0.25">
      <c r="A870" s="4" t="s">
        <v>5942</v>
      </c>
      <c r="B870" s="5" t="s">
        <v>5943</v>
      </c>
      <c r="C870" s="5">
        <v>0.86800000000000099</v>
      </c>
      <c r="D870" s="6" t="s">
        <v>6208</v>
      </c>
    </row>
    <row r="871" spans="1:4" x14ac:dyDescent="0.25">
      <c r="A871" s="7" t="s">
        <v>5944</v>
      </c>
      <c r="B871" s="8" t="s">
        <v>5945</v>
      </c>
      <c r="C871" s="8">
        <v>0.86900000000000099</v>
      </c>
      <c r="D871" s="16" t="s">
        <v>6208</v>
      </c>
    </row>
    <row r="872" spans="1:4" x14ac:dyDescent="0.25">
      <c r="A872" s="4" t="s">
        <v>5946</v>
      </c>
      <c r="B872" s="5" t="s">
        <v>5947</v>
      </c>
      <c r="C872" s="5">
        <v>0.87000000000000099</v>
      </c>
      <c r="D872" s="6" t="s">
        <v>6208</v>
      </c>
    </row>
    <row r="873" spans="1:4" x14ac:dyDescent="0.25">
      <c r="A873" s="7" t="s">
        <v>5948</v>
      </c>
      <c r="B873" s="8" t="s">
        <v>5949</v>
      </c>
      <c r="C873" s="8">
        <v>0.871000000000001</v>
      </c>
      <c r="D873" s="16" t="s">
        <v>6208</v>
      </c>
    </row>
    <row r="874" spans="1:4" x14ac:dyDescent="0.25">
      <c r="A874" s="4" t="s">
        <v>5950</v>
      </c>
      <c r="B874" s="5" t="s">
        <v>5951</v>
      </c>
      <c r="C874" s="5">
        <v>0.872000000000001</v>
      </c>
      <c r="D874" s="6" t="s">
        <v>6208</v>
      </c>
    </row>
    <row r="875" spans="1:4" x14ac:dyDescent="0.25">
      <c r="A875" s="7" t="s">
        <v>5952</v>
      </c>
      <c r="B875" s="8" t="s">
        <v>5953</v>
      </c>
      <c r="C875" s="8">
        <v>0.873000000000001</v>
      </c>
      <c r="D875" s="16" t="s">
        <v>6208</v>
      </c>
    </row>
    <row r="876" spans="1:4" x14ac:dyDescent="0.25">
      <c r="A876" s="4" t="s">
        <v>5954</v>
      </c>
      <c r="B876" s="5" t="s">
        <v>5955</v>
      </c>
      <c r="C876" s="5">
        <v>0.874000000000001</v>
      </c>
      <c r="D876" s="6" t="s">
        <v>6208</v>
      </c>
    </row>
    <row r="877" spans="1:4" x14ac:dyDescent="0.25">
      <c r="A877" s="7" t="s">
        <v>5956</v>
      </c>
      <c r="B877" s="8" t="s">
        <v>5957</v>
      </c>
      <c r="C877" s="8">
        <v>0.875000000000001</v>
      </c>
      <c r="D877" s="16" t="s">
        <v>6208</v>
      </c>
    </row>
    <row r="878" spans="1:4" x14ac:dyDescent="0.25">
      <c r="A878" s="4" t="s">
        <v>5958</v>
      </c>
      <c r="B878" s="5" t="s">
        <v>5959</v>
      </c>
      <c r="C878" s="5">
        <v>0.876000000000001</v>
      </c>
      <c r="D878" s="6" t="s">
        <v>6208</v>
      </c>
    </row>
    <row r="879" spans="1:4" x14ac:dyDescent="0.25">
      <c r="A879" s="7" t="s">
        <v>5960</v>
      </c>
      <c r="B879" s="8" t="s">
        <v>5961</v>
      </c>
      <c r="C879" s="8">
        <v>0.877000000000001</v>
      </c>
      <c r="D879" s="16" t="s">
        <v>6208</v>
      </c>
    </row>
    <row r="880" spans="1:4" x14ac:dyDescent="0.25">
      <c r="A880" s="4" t="s">
        <v>5962</v>
      </c>
      <c r="B880" s="5" t="s">
        <v>5963</v>
      </c>
      <c r="C880" s="5">
        <v>0.878000000000001</v>
      </c>
      <c r="D880" s="6" t="s">
        <v>6208</v>
      </c>
    </row>
    <row r="881" spans="1:4" x14ac:dyDescent="0.25">
      <c r="A881" s="7" t="s">
        <v>5964</v>
      </c>
      <c r="B881" s="8" t="s">
        <v>5965</v>
      </c>
      <c r="C881" s="8">
        <v>0.879000000000001</v>
      </c>
      <c r="D881" s="16" t="s">
        <v>6208</v>
      </c>
    </row>
    <row r="882" spans="1:4" x14ac:dyDescent="0.25">
      <c r="A882" s="4" t="s">
        <v>5966</v>
      </c>
      <c r="B882" s="5" t="s">
        <v>5967</v>
      </c>
      <c r="C882" s="5">
        <v>0.880000000000001</v>
      </c>
      <c r="D882" s="6" t="s">
        <v>6208</v>
      </c>
    </row>
    <row r="883" spans="1:4" x14ac:dyDescent="0.25">
      <c r="A883" s="7" t="s">
        <v>5968</v>
      </c>
      <c r="B883" s="8" t="s">
        <v>5969</v>
      </c>
      <c r="C883" s="8">
        <v>0.881000000000001</v>
      </c>
      <c r="D883" s="16" t="s">
        <v>6208</v>
      </c>
    </row>
    <row r="884" spans="1:4" x14ac:dyDescent="0.25">
      <c r="A884" s="4" t="s">
        <v>5970</v>
      </c>
      <c r="B884" s="5" t="s">
        <v>5971</v>
      </c>
      <c r="C884" s="5">
        <v>0.88200000000000101</v>
      </c>
      <c r="D884" s="6" t="s">
        <v>6208</v>
      </c>
    </row>
    <row r="885" spans="1:4" x14ac:dyDescent="0.25">
      <c r="A885" s="7" t="s">
        <v>5972</v>
      </c>
      <c r="B885" s="8" t="s">
        <v>5973</v>
      </c>
      <c r="C885" s="8">
        <v>0.88300000000000101</v>
      </c>
      <c r="D885" s="16" t="s">
        <v>6208</v>
      </c>
    </row>
    <row r="886" spans="1:4" x14ac:dyDescent="0.25">
      <c r="A886" s="4" t="s">
        <v>5974</v>
      </c>
      <c r="B886" s="5" t="s">
        <v>5975</v>
      </c>
      <c r="C886" s="5">
        <v>0.88400000000000101</v>
      </c>
      <c r="D886" s="6" t="s">
        <v>6208</v>
      </c>
    </row>
    <row r="887" spans="1:4" x14ac:dyDescent="0.25">
      <c r="A887" s="7" t="s">
        <v>5976</v>
      </c>
      <c r="B887" s="8" t="s">
        <v>5977</v>
      </c>
      <c r="C887" s="8">
        <v>0.88500000000000101</v>
      </c>
      <c r="D887" s="16" t="s">
        <v>6208</v>
      </c>
    </row>
    <row r="888" spans="1:4" x14ac:dyDescent="0.25">
      <c r="A888" s="4" t="s">
        <v>5978</v>
      </c>
      <c r="B888" s="5" t="s">
        <v>5979</v>
      </c>
      <c r="C888" s="5">
        <v>0.88600000000000101</v>
      </c>
      <c r="D888" s="6" t="s">
        <v>6208</v>
      </c>
    </row>
    <row r="889" spans="1:4" x14ac:dyDescent="0.25">
      <c r="A889" s="7" t="s">
        <v>5980</v>
      </c>
      <c r="B889" s="8" t="s">
        <v>5981</v>
      </c>
      <c r="C889" s="8">
        <v>0.88700000000000101</v>
      </c>
      <c r="D889" s="16" t="s">
        <v>6208</v>
      </c>
    </row>
    <row r="890" spans="1:4" x14ac:dyDescent="0.25">
      <c r="A890" s="4" t="s">
        <v>5982</v>
      </c>
      <c r="B890" s="5" t="s">
        <v>5983</v>
      </c>
      <c r="C890" s="5">
        <v>0.88800000000000101</v>
      </c>
      <c r="D890" s="6" t="s">
        <v>6208</v>
      </c>
    </row>
    <row r="891" spans="1:4" x14ac:dyDescent="0.25">
      <c r="A891" s="7" t="s">
        <v>5984</v>
      </c>
      <c r="B891" s="8" t="s">
        <v>5985</v>
      </c>
      <c r="C891" s="8">
        <v>0.88900000000000101</v>
      </c>
      <c r="D891" s="16" t="s">
        <v>6208</v>
      </c>
    </row>
    <row r="892" spans="1:4" x14ac:dyDescent="0.25">
      <c r="A892" s="4" t="s">
        <v>5986</v>
      </c>
      <c r="B892" s="5" t="s">
        <v>5987</v>
      </c>
      <c r="C892" s="5">
        <v>0.89000000000000101</v>
      </c>
      <c r="D892" s="6" t="s">
        <v>6208</v>
      </c>
    </row>
    <row r="893" spans="1:4" x14ac:dyDescent="0.25">
      <c r="A893" s="7" t="s">
        <v>5988</v>
      </c>
      <c r="B893" s="8" t="s">
        <v>5989</v>
      </c>
      <c r="C893" s="8">
        <v>0.89100000000000101</v>
      </c>
      <c r="D893" s="16" t="s">
        <v>6208</v>
      </c>
    </row>
    <row r="894" spans="1:4" x14ac:dyDescent="0.25">
      <c r="A894" s="4" t="s">
        <v>5990</v>
      </c>
      <c r="B894" s="5" t="s">
        <v>5991</v>
      </c>
      <c r="C894" s="5">
        <v>0.89200000000000101</v>
      </c>
      <c r="D894" s="6" t="s">
        <v>6208</v>
      </c>
    </row>
    <row r="895" spans="1:4" x14ac:dyDescent="0.25">
      <c r="A895" s="7" t="s">
        <v>5992</v>
      </c>
      <c r="B895" s="8" t="s">
        <v>5993</v>
      </c>
      <c r="C895" s="8">
        <v>0.89300000000000102</v>
      </c>
      <c r="D895" s="16" t="s">
        <v>6208</v>
      </c>
    </row>
    <row r="896" spans="1:4" x14ac:dyDescent="0.25">
      <c r="A896" s="4" t="s">
        <v>5994</v>
      </c>
      <c r="B896" s="5" t="s">
        <v>5995</v>
      </c>
      <c r="C896" s="5">
        <v>0.89400000000000102</v>
      </c>
      <c r="D896" s="6" t="s">
        <v>6208</v>
      </c>
    </row>
    <row r="897" spans="1:4" x14ac:dyDescent="0.25">
      <c r="A897" s="7" t="s">
        <v>5996</v>
      </c>
      <c r="B897" s="8" t="s">
        <v>5997</v>
      </c>
      <c r="C897" s="8">
        <v>0.89500000000000102</v>
      </c>
      <c r="D897" s="16" t="s">
        <v>6208</v>
      </c>
    </row>
    <row r="898" spans="1:4" x14ac:dyDescent="0.25">
      <c r="A898" s="4" t="s">
        <v>5998</v>
      </c>
      <c r="B898" s="5" t="s">
        <v>5999</v>
      </c>
      <c r="C898" s="5">
        <v>0.89600000000000102</v>
      </c>
      <c r="D898" s="6" t="s">
        <v>6208</v>
      </c>
    </row>
    <row r="899" spans="1:4" x14ac:dyDescent="0.25">
      <c r="A899" s="7" t="s">
        <v>6000</v>
      </c>
      <c r="B899" s="8" t="s">
        <v>6001</v>
      </c>
      <c r="C899" s="8">
        <v>0.89700000000000102</v>
      </c>
      <c r="D899" s="16" t="s">
        <v>6208</v>
      </c>
    </row>
    <row r="900" spans="1:4" x14ac:dyDescent="0.25">
      <c r="A900" s="4" t="s">
        <v>6002</v>
      </c>
      <c r="B900" s="5" t="s">
        <v>6003</v>
      </c>
      <c r="C900" s="5">
        <v>0.89800000000000102</v>
      </c>
      <c r="D900" s="6" t="s">
        <v>6208</v>
      </c>
    </row>
    <row r="901" spans="1:4" x14ac:dyDescent="0.25">
      <c r="A901" s="7" t="s">
        <v>6004</v>
      </c>
      <c r="B901" s="8" t="s">
        <v>6005</v>
      </c>
      <c r="C901" s="8">
        <v>0.89900000000000102</v>
      </c>
      <c r="D901" s="16" t="s">
        <v>6208</v>
      </c>
    </row>
    <row r="902" spans="1:4" x14ac:dyDescent="0.25">
      <c r="A902" s="4" t="s">
        <v>6006</v>
      </c>
      <c r="B902" s="5" t="s">
        <v>6007</v>
      </c>
      <c r="C902" s="5">
        <v>0.90000000000000102</v>
      </c>
      <c r="D902" s="6" t="s">
        <v>6208</v>
      </c>
    </row>
    <row r="903" spans="1:4" x14ac:dyDescent="0.25">
      <c r="A903" s="7" t="s">
        <v>6008</v>
      </c>
      <c r="B903" s="8" t="s">
        <v>6009</v>
      </c>
      <c r="C903" s="8">
        <v>0.90100000000000102</v>
      </c>
      <c r="D903" s="16" t="s">
        <v>6208</v>
      </c>
    </row>
    <row r="904" spans="1:4" x14ac:dyDescent="0.25">
      <c r="A904" s="4" t="s">
        <v>6010</v>
      </c>
      <c r="B904" s="5" t="s">
        <v>6011</v>
      </c>
      <c r="C904" s="5">
        <v>0.90200000000000102</v>
      </c>
      <c r="D904" s="6" t="s">
        <v>6208</v>
      </c>
    </row>
    <row r="905" spans="1:4" x14ac:dyDescent="0.25">
      <c r="A905" s="7" t="s">
        <v>6012</v>
      </c>
      <c r="B905" s="8" t="s">
        <v>6013</v>
      </c>
      <c r="C905" s="8">
        <v>0.90300000000000102</v>
      </c>
      <c r="D905" s="16" t="s">
        <v>6208</v>
      </c>
    </row>
    <row r="906" spans="1:4" x14ac:dyDescent="0.25">
      <c r="A906" s="4" t="s">
        <v>6014</v>
      </c>
      <c r="B906" s="5" t="s">
        <v>6015</v>
      </c>
      <c r="C906" s="5">
        <v>0.90400000000000102</v>
      </c>
      <c r="D906" s="6" t="s">
        <v>6208</v>
      </c>
    </row>
    <row r="907" spans="1:4" x14ac:dyDescent="0.25">
      <c r="A907" s="7" t="s">
        <v>6016</v>
      </c>
      <c r="B907" s="8" t="s">
        <v>6017</v>
      </c>
      <c r="C907" s="8">
        <v>0.90500000000000103</v>
      </c>
      <c r="D907" s="16" t="s">
        <v>6208</v>
      </c>
    </row>
    <row r="908" spans="1:4" x14ac:dyDescent="0.25">
      <c r="A908" s="4" t="s">
        <v>6018</v>
      </c>
      <c r="B908" s="5" t="s">
        <v>6019</v>
      </c>
      <c r="C908" s="5">
        <v>0.90600000000000103</v>
      </c>
      <c r="D908" s="6" t="s">
        <v>6208</v>
      </c>
    </row>
    <row r="909" spans="1:4" x14ac:dyDescent="0.25">
      <c r="A909" s="7" t="s">
        <v>6020</v>
      </c>
      <c r="B909" s="8" t="s">
        <v>6021</v>
      </c>
      <c r="C909" s="8">
        <v>0.90700000000000103</v>
      </c>
      <c r="D909" s="16" t="s">
        <v>6208</v>
      </c>
    </row>
    <row r="910" spans="1:4" x14ac:dyDescent="0.25">
      <c r="A910" s="4" t="s">
        <v>6022</v>
      </c>
      <c r="B910" s="5" t="s">
        <v>6023</v>
      </c>
      <c r="C910" s="5">
        <v>0.90800000000000103</v>
      </c>
      <c r="D910" s="6" t="s">
        <v>6208</v>
      </c>
    </row>
    <row r="911" spans="1:4" x14ac:dyDescent="0.25">
      <c r="A911" s="7" t="s">
        <v>6024</v>
      </c>
      <c r="B911" s="8" t="s">
        <v>6025</v>
      </c>
      <c r="C911" s="8">
        <v>0.90900000000000103</v>
      </c>
      <c r="D911" s="16" t="s">
        <v>6208</v>
      </c>
    </row>
    <row r="912" spans="1:4" x14ac:dyDescent="0.25">
      <c r="A912" s="4" t="s">
        <v>6026</v>
      </c>
      <c r="B912" s="5" t="s">
        <v>6027</v>
      </c>
      <c r="C912" s="5">
        <v>0.91000000000000103</v>
      </c>
      <c r="D912" s="6" t="s">
        <v>6208</v>
      </c>
    </row>
    <row r="913" spans="1:4" x14ac:dyDescent="0.25">
      <c r="A913" s="7" t="s">
        <v>6028</v>
      </c>
      <c r="B913" s="8" t="s">
        <v>6029</v>
      </c>
      <c r="C913" s="8">
        <v>0.91100000000000103</v>
      </c>
      <c r="D913" s="16" t="s">
        <v>6208</v>
      </c>
    </row>
    <row r="914" spans="1:4" x14ac:dyDescent="0.25">
      <c r="A914" s="4" t="s">
        <v>6030</v>
      </c>
      <c r="B914" s="5" t="s">
        <v>6031</v>
      </c>
      <c r="C914" s="5">
        <v>0.91200000000000103</v>
      </c>
      <c r="D914" s="6" t="s">
        <v>6208</v>
      </c>
    </row>
    <row r="915" spans="1:4" x14ac:dyDescent="0.25">
      <c r="A915" s="7" t="s">
        <v>6032</v>
      </c>
      <c r="B915" s="8" t="s">
        <v>6033</v>
      </c>
      <c r="C915" s="8">
        <v>0.91300000000000103</v>
      </c>
      <c r="D915" s="16" t="s">
        <v>6208</v>
      </c>
    </row>
    <row r="916" spans="1:4" x14ac:dyDescent="0.25">
      <c r="A916" s="4" t="s">
        <v>6034</v>
      </c>
      <c r="B916" s="5" t="s">
        <v>6035</v>
      </c>
      <c r="C916" s="5">
        <v>0.91400000000000103</v>
      </c>
      <c r="D916" s="6" t="s">
        <v>6208</v>
      </c>
    </row>
    <row r="917" spans="1:4" x14ac:dyDescent="0.25">
      <c r="A917" s="7" t="s">
        <v>6036</v>
      </c>
      <c r="B917" s="8" t="s">
        <v>6037</v>
      </c>
      <c r="C917" s="8">
        <v>0.91500000000000103</v>
      </c>
      <c r="D917" s="16" t="s">
        <v>6208</v>
      </c>
    </row>
    <row r="918" spans="1:4" x14ac:dyDescent="0.25">
      <c r="A918" s="4" t="s">
        <v>6038</v>
      </c>
      <c r="B918" s="5" t="s">
        <v>6039</v>
      </c>
      <c r="C918" s="5">
        <v>0.91600000000000104</v>
      </c>
      <c r="D918" s="6" t="s">
        <v>6208</v>
      </c>
    </row>
    <row r="919" spans="1:4" x14ac:dyDescent="0.25">
      <c r="A919" s="7" t="s">
        <v>6040</v>
      </c>
      <c r="B919" s="8" t="s">
        <v>6041</v>
      </c>
      <c r="C919" s="8">
        <v>0.91700000000000104</v>
      </c>
      <c r="D919" s="16" t="s">
        <v>6208</v>
      </c>
    </row>
    <row r="920" spans="1:4" x14ac:dyDescent="0.25">
      <c r="A920" s="4" t="s">
        <v>6042</v>
      </c>
      <c r="B920" s="5" t="s">
        <v>6043</v>
      </c>
      <c r="C920" s="5">
        <v>0.91800000000000104</v>
      </c>
      <c r="D920" s="6" t="s">
        <v>6208</v>
      </c>
    </row>
    <row r="921" spans="1:4" x14ac:dyDescent="0.25">
      <c r="A921" s="7" t="s">
        <v>6044</v>
      </c>
      <c r="B921" s="8" t="s">
        <v>6045</v>
      </c>
      <c r="C921" s="8">
        <v>0.91900000000000104</v>
      </c>
      <c r="D921" s="16" t="s">
        <v>6208</v>
      </c>
    </row>
    <row r="922" spans="1:4" x14ac:dyDescent="0.25">
      <c r="A922" s="4" t="s">
        <v>6046</v>
      </c>
      <c r="B922" s="5" t="s">
        <v>6047</v>
      </c>
      <c r="C922" s="5">
        <v>0.92000000000000104</v>
      </c>
      <c r="D922" s="6" t="s">
        <v>6208</v>
      </c>
    </row>
    <row r="923" spans="1:4" x14ac:dyDescent="0.25">
      <c r="A923" s="7" t="s">
        <v>6048</v>
      </c>
      <c r="B923" s="8" t="s">
        <v>6049</v>
      </c>
      <c r="C923" s="8">
        <v>0.92100000000000104</v>
      </c>
      <c r="D923" s="16" t="s">
        <v>6208</v>
      </c>
    </row>
    <row r="924" spans="1:4" x14ac:dyDescent="0.25">
      <c r="A924" s="4" t="s">
        <v>6050</v>
      </c>
      <c r="B924" s="5" t="s">
        <v>6051</v>
      </c>
      <c r="C924" s="5">
        <v>0.92200000000000104</v>
      </c>
      <c r="D924" s="6" t="s">
        <v>6208</v>
      </c>
    </row>
    <row r="925" spans="1:4" x14ac:dyDescent="0.25">
      <c r="A925" s="7" t="s">
        <v>6052</v>
      </c>
      <c r="B925" s="8" t="s">
        <v>6053</v>
      </c>
      <c r="C925" s="8">
        <v>0.92300000000000104</v>
      </c>
      <c r="D925" s="16" t="s">
        <v>6208</v>
      </c>
    </row>
    <row r="926" spans="1:4" x14ac:dyDescent="0.25">
      <c r="A926" s="4" t="s">
        <v>6054</v>
      </c>
      <c r="B926" s="5" t="s">
        <v>6055</v>
      </c>
      <c r="C926" s="5">
        <v>0.92400000000000104</v>
      </c>
      <c r="D926" s="6" t="s">
        <v>6208</v>
      </c>
    </row>
    <row r="927" spans="1:4" x14ac:dyDescent="0.25">
      <c r="A927" s="7" t="s">
        <v>6056</v>
      </c>
      <c r="B927" s="8" t="s">
        <v>6057</v>
      </c>
      <c r="C927" s="8">
        <v>0.92500000000000104</v>
      </c>
      <c r="D927" s="16" t="s">
        <v>6208</v>
      </c>
    </row>
    <row r="928" spans="1:4" x14ac:dyDescent="0.25">
      <c r="A928" s="4" t="s">
        <v>6058</v>
      </c>
      <c r="B928" s="5" t="s">
        <v>6059</v>
      </c>
      <c r="C928" s="5">
        <v>0.92600000000000104</v>
      </c>
      <c r="D928" s="6" t="s">
        <v>6208</v>
      </c>
    </row>
    <row r="929" spans="1:4" x14ac:dyDescent="0.25">
      <c r="A929" s="7" t="s">
        <v>6060</v>
      </c>
      <c r="B929" s="8" t="s">
        <v>6061</v>
      </c>
      <c r="C929" s="8">
        <v>0.92700000000000105</v>
      </c>
      <c r="D929" s="16" t="s">
        <v>6208</v>
      </c>
    </row>
    <row r="930" spans="1:4" x14ac:dyDescent="0.25">
      <c r="A930" s="4" t="s">
        <v>6062</v>
      </c>
      <c r="B930" s="5" t="s">
        <v>6063</v>
      </c>
      <c r="C930" s="5">
        <v>0.92800000000000105</v>
      </c>
      <c r="D930" s="6" t="s">
        <v>6208</v>
      </c>
    </row>
    <row r="931" spans="1:4" x14ac:dyDescent="0.25">
      <c r="A931" s="7" t="s">
        <v>6064</v>
      </c>
      <c r="B931" s="8" t="s">
        <v>6065</v>
      </c>
      <c r="C931" s="8">
        <v>0.92900000000000105</v>
      </c>
      <c r="D931" s="16" t="s">
        <v>6208</v>
      </c>
    </row>
    <row r="932" spans="1:4" x14ac:dyDescent="0.25">
      <c r="A932" s="4" t="s">
        <v>6066</v>
      </c>
      <c r="B932" s="5" t="s">
        <v>6067</v>
      </c>
      <c r="C932" s="5">
        <v>0.93000000000000105</v>
      </c>
      <c r="D932" s="6" t="s">
        <v>6208</v>
      </c>
    </row>
    <row r="933" spans="1:4" x14ac:dyDescent="0.25">
      <c r="A933" s="7" t="s">
        <v>6068</v>
      </c>
      <c r="B933" s="8" t="s">
        <v>6069</v>
      </c>
      <c r="C933" s="8">
        <v>0.93100000000000105</v>
      </c>
      <c r="D933" s="16" t="s">
        <v>6208</v>
      </c>
    </row>
    <row r="934" spans="1:4" x14ac:dyDescent="0.25">
      <c r="A934" s="4" t="s">
        <v>6070</v>
      </c>
      <c r="B934" s="5" t="s">
        <v>6071</v>
      </c>
      <c r="C934" s="5">
        <v>0.93200000000000105</v>
      </c>
      <c r="D934" s="6" t="s">
        <v>6208</v>
      </c>
    </row>
    <row r="935" spans="1:4" x14ac:dyDescent="0.25">
      <c r="A935" s="7" t="s">
        <v>6072</v>
      </c>
      <c r="B935" s="8" t="s">
        <v>6073</v>
      </c>
      <c r="C935" s="8">
        <v>0.93300000000000105</v>
      </c>
      <c r="D935" s="16" t="s">
        <v>6208</v>
      </c>
    </row>
    <row r="936" spans="1:4" x14ac:dyDescent="0.25">
      <c r="A936" s="4" t="s">
        <v>6074</v>
      </c>
      <c r="B936" s="5" t="s">
        <v>6075</v>
      </c>
      <c r="C936" s="5">
        <v>0.93400000000000105</v>
      </c>
      <c r="D936" s="6" t="s">
        <v>6208</v>
      </c>
    </row>
    <row r="937" spans="1:4" x14ac:dyDescent="0.25">
      <c r="A937" s="7" t="s">
        <v>6076</v>
      </c>
      <c r="B937" s="8" t="s">
        <v>6077</v>
      </c>
      <c r="C937" s="8">
        <v>0.93500000000000105</v>
      </c>
      <c r="D937" s="16" t="s">
        <v>6208</v>
      </c>
    </row>
    <row r="938" spans="1:4" x14ac:dyDescent="0.25">
      <c r="A938" s="4" t="s">
        <v>6078</v>
      </c>
      <c r="B938" s="5" t="s">
        <v>6079</v>
      </c>
      <c r="C938" s="5">
        <v>0.93600000000000105</v>
      </c>
      <c r="D938" s="6" t="s">
        <v>6208</v>
      </c>
    </row>
    <row r="939" spans="1:4" x14ac:dyDescent="0.25">
      <c r="A939" s="7" t="s">
        <v>6080</v>
      </c>
      <c r="B939" s="8" t="s">
        <v>6081</v>
      </c>
      <c r="C939" s="8">
        <v>0.93700000000000105</v>
      </c>
      <c r="D939" s="16" t="s">
        <v>6208</v>
      </c>
    </row>
    <row r="940" spans="1:4" x14ac:dyDescent="0.25">
      <c r="A940" s="4" t="s">
        <v>6082</v>
      </c>
      <c r="B940" s="5" t="s">
        <v>6083</v>
      </c>
      <c r="C940" s="5">
        <v>0.93800000000000106</v>
      </c>
      <c r="D940" s="6" t="s">
        <v>6208</v>
      </c>
    </row>
    <row r="941" spans="1:4" x14ac:dyDescent="0.25">
      <c r="A941" s="7" t="s">
        <v>6084</v>
      </c>
      <c r="B941" s="8" t="s">
        <v>6085</v>
      </c>
      <c r="C941" s="8">
        <v>0.93900000000000095</v>
      </c>
      <c r="D941" s="16" t="s">
        <v>6208</v>
      </c>
    </row>
    <row r="942" spans="1:4" x14ac:dyDescent="0.25">
      <c r="A942" s="4" t="s">
        <v>6086</v>
      </c>
      <c r="B942" s="5" t="s">
        <v>6087</v>
      </c>
      <c r="C942" s="5">
        <v>0.94000000000000095</v>
      </c>
      <c r="D942" s="6" t="s">
        <v>6208</v>
      </c>
    </row>
    <row r="943" spans="1:4" x14ac:dyDescent="0.25">
      <c r="A943" s="7" t="s">
        <v>6088</v>
      </c>
      <c r="B943" s="8" t="s">
        <v>6089</v>
      </c>
      <c r="C943" s="8">
        <v>0.94100000000000095</v>
      </c>
      <c r="D943" s="16" t="s">
        <v>6208</v>
      </c>
    </row>
    <row r="944" spans="1:4" x14ac:dyDescent="0.25">
      <c r="A944" s="4" t="s">
        <v>6090</v>
      </c>
      <c r="B944" s="5" t="s">
        <v>6091</v>
      </c>
      <c r="C944" s="5">
        <v>0.94200000000000095</v>
      </c>
      <c r="D944" s="6" t="s">
        <v>6208</v>
      </c>
    </row>
    <row r="945" spans="1:4" x14ac:dyDescent="0.25">
      <c r="A945" s="7" t="s">
        <v>6092</v>
      </c>
      <c r="B945" s="8" t="s">
        <v>6093</v>
      </c>
      <c r="C945" s="8">
        <v>0.94300000000000095</v>
      </c>
      <c r="D945" s="16" t="s">
        <v>6208</v>
      </c>
    </row>
    <row r="946" spans="1:4" x14ac:dyDescent="0.25">
      <c r="A946" s="4" t="s">
        <v>6094</v>
      </c>
      <c r="B946" s="5" t="s">
        <v>6095</v>
      </c>
      <c r="C946" s="5">
        <v>0.94400000000000095</v>
      </c>
      <c r="D946" s="6" t="s">
        <v>6208</v>
      </c>
    </row>
    <row r="947" spans="1:4" x14ac:dyDescent="0.25">
      <c r="A947" s="7" t="s">
        <v>6096</v>
      </c>
      <c r="B947" s="8" t="s">
        <v>6097</v>
      </c>
      <c r="C947" s="8">
        <v>0.94500000000000095</v>
      </c>
      <c r="D947" s="16" t="s">
        <v>6208</v>
      </c>
    </row>
    <row r="948" spans="1:4" x14ac:dyDescent="0.25">
      <c r="A948" s="4" t="s">
        <v>6098</v>
      </c>
      <c r="B948" s="5" t="s">
        <v>6099</v>
      </c>
      <c r="C948" s="5">
        <v>0.94600000000000095</v>
      </c>
      <c r="D948" s="6" t="s">
        <v>6208</v>
      </c>
    </row>
    <row r="949" spans="1:4" x14ac:dyDescent="0.25">
      <c r="A949" s="7" t="s">
        <v>6100</v>
      </c>
      <c r="B949" s="8" t="s">
        <v>6101</v>
      </c>
      <c r="C949" s="8">
        <v>0.94700000000000095</v>
      </c>
      <c r="D949" s="16" t="s">
        <v>6208</v>
      </c>
    </row>
    <row r="950" spans="1:4" x14ac:dyDescent="0.25">
      <c r="A950" s="4" t="s">
        <v>6102</v>
      </c>
      <c r="B950" s="5" t="s">
        <v>6103</v>
      </c>
      <c r="C950" s="5">
        <v>0.94800000000000095</v>
      </c>
      <c r="D950" s="6" t="s">
        <v>6208</v>
      </c>
    </row>
    <row r="951" spans="1:4" x14ac:dyDescent="0.25">
      <c r="A951" s="7" t="s">
        <v>6104</v>
      </c>
      <c r="B951" s="8" t="s">
        <v>6105</v>
      </c>
      <c r="C951" s="8">
        <v>0.94900000000000095</v>
      </c>
      <c r="D951" s="16" t="s">
        <v>6208</v>
      </c>
    </row>
    <row r="952" spans="1:4" x14ac:dyDescent="0.25">
      <c r="A952" s="4" t="s">
        <v>6106</v>
      </c>
      <c r="B952" s="5" t="s">
        <v>6107</v>
      </c>
      <c r="C952" s="5">
        <v>0.95000000000000095</v>
      </c>
      <c r="D952" s="6" t="s">
        <v>6208</v>
      </c>
    </row>
    <row r="953" spans="1:4" x14ac:dyDescent="0.25">
      <c r="A953" s="7" t="s">
        <v>6108</v>
      </c>
      <c r="B953" s="8" t="s">
        <v>6109</v>
      </c>
      <c r="C953" s="8">
        <v>0.95100000000000096</v>
      </c>
      <c r="D953" s="16" t="s">
        <v>6208</v>
      </c>
    </row>
    <row r="954" spans="1:4" x14ac:dyDescent="0.25">
      <c r="A954" s="4" t="s">
        <v>6110</v>
      </c>
      <c r="B954" s="5" t="s">
        <v>6111</v>
      </c>
      <c r="C954" s="5">
        <v>0.95200000000000096</v>
      </c>
      <c r="D954" s="6" t="s">
        <v>6208</v>
      </c>
    </row>
    <row r="955" spans="1:4" x14ac:dyDescent="0.25">
      <c r="A955" s="7" t="s">
        <v>6112</v>
      </c>
      <c r="B955" s="8" t="s">
        <v>6113</v>
      </c>
      <c r="C955" s="8">
        <v>0.95300000000000096</v>
      </c>
      <c r="D955" s="16" t="s">
        <v>6208</v>
      </c>
    </row>
    <row r="956" spans="1:4" x14ac:dyDescent="0.25">
      <c r="A956" s="4" t="s">
        <v>6114</v>
      </c>
      <c r="B956" s="5" t="s">
        <v>6115</v>
      </c>
      <c r="C956" s="5">
        <v>0.95400000000000096</v>
      </c>
      <c r="D956" s="6" t="s">
        <v>6208</v>
      </c>
    </row>
    <row r="957" spans="1:4" x14ac:dyDescent="0.25">
      <c r="A957" s="7" t="s">
        <v>6116</v>
      </c>
      <c r="B957" s="8" t="s">
        <v>6117</v>
      </c>
      <c r="C957" s="8">
        <v>0.95500000000000096</v>
      </c>
      <c r="D957" s="16" t="s">
        <v>6208</v>
      </c>
    </row>
    <row r="958" spans="1:4" x14ac:dyDescent="0.25">
      <c r="A958" s="4" t="s">
        <v>6118</v>
      </c>
      <c r="B958" s="5" t="s">
        <v>6119</v>
      </c>
      <c r="C958" s="5">
        <v>0.95600000000000096</v>
      </c>
      <c r="D958" s="6" t="s">
        <v>6208</v>
      </c>
    </row>
    <row r="959" spans="1:4" x14ac:dyDescent="0.25">
      <c r="A959" s="7" t="s">
        <v>6120</v>
      </c>
      <c r="B959" s="8" t="s">
        <v>6121</v>
      </c>
      <c r="C959" s="8">
        <v>0.95700000000000096</v>
      </c>
      <c r="D959" s="16" t="s">
        <v>6208</v>
      </c>
    </row>
    <row r="960" spans="1:4" x14ac:dyDescent="0.25">
      <c r="A960" s="4" t="s">
        <v>6122</v>
      </c>
      <c r="B960" s="5" t="s">
        <v>6123</v>
      </c>
      <c r="C960" s="5">
        <v>0.95800000000000096</v>
      </c>
      <c r="D960" s="6" t="s">
        <v>6208</v>
      </c>
    </row>
    <row r="961" spans="1:4" x14ac:dyDescent="0.25">
      <c r="A961" s="7" t="s">
        <v>6124</v>
      </c>
      <c r="B961" s="8" t="s">
        <v>6125</v>
      </c>
      <c r="C961" s="8">
        <v>0.95900000000000096</v>
      </c>
      <c r="D961" s="16" t="s">
        <v>6208</v>
      </c>
    </row>
    <row r="962" spans="1:4" x14ac:dyDescent="0.25">
      <c r="A962" s="4" t="s">
        <v>6126</v>
      </c>
      <c r="B962" s="5" t="s">
        <v>6127</v>
      </c>
      <c r="C962" s="5">
        <v>0.96000000000000096</v>
      </c>
      <c r="D962" s="6" t="s">
        <v>6208</v>
      </c>
    </row>
    <row r="963" spans="1:4" x14ac:dyDescent="0.25">
      <c r="A963" s="7" t="s">
        <v>6128</v>
      </c>
      <c r="B963" s="8" t="s">
        <v>6129</v>
      </c>
      <c r="C963" s="8">
        <v>0.96100000000000096</v>
      </c>
      <c r="D963" s="16" t="s">
        <v>6208</v>
      </c>
    </row>
    <row r="964" spans="1:4" x14ac:dyDescent="0.25">
      <c r="A964" s="4" t="s">
        <v>6130</v>
      </c>
      <c r="B964" s="5" t="s">
        <v>6131</v>
      </c>
      <c r="C964" s="5">
        <v>0.96200000000000097</v>
      </c>
      <c r="D964" s="6" t="s">
        <v>6208</v>
      </c>
    </row>
    <row r="965" spans="1:4" x14ac:dyDescent="0.25">
      <c r="A965" s="7" t="s">
        <v>6132</v>
      </c>
      <c r="B965" s="8" t="s">
        <v>6133</v>
      </c>
      <c r="C965" s="8">
        <v>0.96300000000000097</v>
      </c>
      <c r="D965" s="16" t="s">
        <v>6208</v>
      </c>
    </row>
    <row r="966" spans="1:4" x14ac:dyDescent="0.25">
      <c r="A966" s="4" t="s">
        <v>6134</v>
      </c>
      <c r="B966" s="5" t="s">
        <v>6135</v>
      </c>
      <c r="C966" s="5">
        <v>0.96400000000000097</v>
      </c>
      <c r="D966" s="6" t="s">
        <v>6208</v>
      </c>
    </row>
    <row r="967" spans="1:4" x14ac:dyDescent="0.25">
      <c r="A967" s="7" t="s">
        <v>6136</v>
      </c>
      <c r="B967" s="8" t="s">
        <v>6137</v>
      </c>
      <c r="C967" s="8">
        <v>0.96500000000000097</v>
      </c>
      <c r="D967" s="16" t="s">
        <v>6208</v>
      </c>
    </row>
    <row r="968" spans="1:4" x14ac:dyDescent="0.25">
      <c r="A968" s="4" t="s">
        <v>6138</v>
      </c>
      <c r="B968" s="5" t="s">
        <v>6139</v>
      </c>
      <c r="C968" s="5">
        <v>0.96600000000000097</v>
      </c>
      <c r="D968" s="6" t="s">
        <v>6208</v>
      </c>
    </row>
    <row r="969" spans="1:4" x14ac:dyDescent="0.25">
      <c r="A969" s="7" t="s">
        <v>6140</v>
      </c>
      <c r="B969" s="8" t="s">
        <v>6141</v>
      </c>
      <c r="C969" s="8">
        <v>0.96700000000000097</v>
      </c>
      <c r="D969" s="16" t="s">
        <v>6208</v>
      </c>
    </row>
    <row r="970" spans="1:4" x14ac:dyDescent="0.25">
      <c r="A970" s="4" t="s">
        <v>6142</v>
      </c>
      <c r="B970" s="5" t="s">
        <v>6143</v>
      </c>
      <c r="C970" s="5">
        <v>0.96800000000000097</v>
      </c>
      <c r="D970" s="6" t="s">
        <v>6208</v>
      </c>
    </row>
    <row r="971" spans="1:4" x14ac:dyDescent="0.25">
      <c r="A971" s="7" t="s">
        <v>6144</v>
      </c>
      <c r="B971" s="8" t="s">
        <v>6145</v>
      </c>
      <c r="C971" s="8">
        <v>0.96900000000000097</v>
      </c>
      <c r="D971" s="16" t="s">
        <v>6208</v>
      </c>
    </row>
    <row r="972" spans="1:4" x14ac:dyDescent="0.25">
      <c r="A972" s="4" t="s">
        <v>6146</v>
      </c>
      <c r="B972" s="5" t="s">
        <v>6147</v>
      </c>
      <c r="C972" s="5">
        <v>0.97000000000000097</v>
      </c>
      <c r="D972" s="6" t="s">
        <v>6208</v>
      </c>
    </row>
    <row r="973" spans="1:4" x14ac:dyDescent="0.25">
      <c r="A973" s="7" t="s">
        <v>6148</v>
      </c>
      <c r="B973" s="8" t="s">
        <v>6149</v>
      </c>
      <c r="C973" s="8">
        <v>0.97100000000000097</v>
      </c>
      <c r="D973" s="16" t="s">
        <v>6208</v>
      </c>
    </row>
    <row r="974" spans="1:4" x14ac:dyDescent="0.25">
      <c r="A974" s="4" t="s">
        <v>6150</v>
      </c>
      <c r="B974" s="5" t="s">
        <v>6151</v>
      </c>
      <c r="C974" s="5">
        <v>0.97200000000000097</v>
      </c>
      <c r="D974" s="6" t="s">
        <v>6208</v>
      </c>
    </row>
    <row r="975" spans="1:4" x14ac:dyDescent="0.25">
      <c r="A975" s="7" t="s">
        <v>6152</v>
      </c>
      <c r="B975" s="8" t="s">
        <v>6153</v>
      </c>
      <c r="C975" s="8">
        <v>0.97300000000000098</v>
      </c>
      <c r="D975" s="16" t="s">
        <v>6208</v>
      </c>
    </row>
    <row r="976" spans="1:4" x14ac:dyDescent="0.25">
      <c r="A976" s="4" t="s">
        <v>6154</v>
      </c>
      <c r="B976" s="5" t="s">
        <v>6155</v>
      </c>
      <c r="C976" s="5">
        <v>0.97400000000000098</v>
      </c>
      <c r="D976" s="6" t="s">
        <v>6208</v>
      </c>
    </row>
    <row r="977" spans="1:4" x14ac:dyDescent="0.25">
      <c r="A977" s="7" t="s">
        <v>6156</v>
      </c>
      <c r="B977" s="8" t="s">
        <v>6157</v>
      </c>
      <c r="C977" s="8">
        <v>0.97500000000000098</v>
      </c>
      <c r="D977" s="16" t="s">
        <v>6208</v>
      </c>
    </row>
    <row r="978" spans="1:4" x14ac:dyDescent="0.25">
      <c r="A978" s="4" t="s">
        <v>6158</v>
      </c>
      <c r="B978" s="5" t="s">
        <v>6159</v>
      </c>
      <c r="C978" s="5">
        <v>0.97600000000000098</v>
      </c>
      <c r="D978" s="6" t="s">
        <v>6208</v>
      </c>
    </row>
    <row r="979" spans="1:4" x14ac:dyDescent="0.25">
      <c r="A979" s="7" t="s">
        <v>6160</v>
      </c>
      <c r="B979" s="8" t="s">
        <v>6161</v>
      </c>
      <c r="C979" s="8">
        <v>0.97700000000000098</v>
      </c>
      <c r="D979" s="16" t="s">
        <v>6208</v>
      </c>
    </row>
    <row r="980" spans="1:4" x14ac:dyDescent="0.25">
      <c r="A980" s="4" t="s">
        <v>6162</v>
      </c>
      <c r="B980" s="5" t="s">
        <v>6163</v>
      </c>
      <c r="C980" s="5">
        <v>0.97800000000000098</v>
      </c>
      <c r="D980" s="6" t="s">
        <v>6208</v>
      </c>
    </row>
    <row r="981" spans="1:4" x14ac:dyDescent="0.25">
      <c r="A981" s="7" t="s">
        <v>6164</v>
      </c>
      <c r="B981" s="8" t="s">
        <v>6165</v>
      </c>
      <c r="C981" s="8">
        <v>0.97900000000000098</v>
      </c>
      <c r="D981" s="16" t="s">
        <v>6208</v>
      </c>
    </row>
    <row r="982" spans="1:4" x14ac:dyDescent="0.25">
      <c r="A982" s="4" t="s">
        <v>6166</v>
      </c>
      <c r="B982" s="5" t="s">
        <v>6167</v>
      </c>
      <c r="C982" s="5">
        <v>0.98000000000000098</v>
      </c>
      <c r="D982" s="6" t="s">
        <v>6208</v>
      </c>
    </row>
    <row r="983" spans="1:4" x14ac:dyDescent="0.25">
      <c r="A983" s="7" t="s">
        <v>6168</v>
      </c>
      <c r="B983" s="8" t="s">
        <v>6169</v>
      </c>
      <c r="C983" s="8">
        <v>0.98100000000000098</v>
      </c>
      <c r="D983" s="16" t="s">
        <v>6208</v>
      </c>
    </row>
    <row r="984" spans="1:4" x14ac:dyDescent="0.25">
      <c r="A984" s="4" t="s">
        <v>6170</v>
      </c>
      <c r="B984" s="5" t="s">
        <v>6171</v>
      </c>
      <c r="C984" s="5">
        <v>0.98200000000000098</v>
      </c>
      <c r="D984" s="6" t="s">
        <v>6208</v>
      </c>
    </row>
    <row r="985" spans="1:4" x14ac:dyDescent="0.25">
      <c r="A985" s="7" t="s">
        <v>6172</v>
      </c>
      <c r="B985" s="8" t="s">
        <v>6173</v>
      </c>
      <c r="C985" s="8">
        <v>0.98300000000000098</v>
      </c>
      <c r="D985" s="16" t="s">
        <v>6208</v>
      </c>
    </row>
    <row r="986" spans="1:4" x14ac:dyDescent="0.25">
      <c r="A986" s="4" t="s">
        <v>6174</v>
      </c>
      <c r="B986" s="5" t="s">
        <v>6175</v>
      </c>
      <c r="C986" s="5">
        <v>0.98400000000000098</v>
      </c>
      <c r="D986" s="6" t="s">
        <v>6208</v>
      </c>
    </row>
    <row r="987" spans="1:4" x14ac:dyDescent="0.25">
      <c r="A987" s="7" t="s">
        <v>6176</v>
      </c>
      <c r="B987" s="8" t="s">
        <v>6177</v>
      </c>
      <c r="C987" s="8">
        <v>0.98500000000000099</v>
      </c>
      <c r="D987" s="16" t="s">
        <v>6208</v>
      </c>
    </row>
    <row r="988" spans="1:4" x14ac:dyDescent="0.25">
      <c r="A988" s="4" t="s">
        <v>6178</v>
      </c>
      <c r="B988" s="5" t="s">
        <v>6179</v>
      </c>
      <c r="C988" s="5">
        <v>0.98600000000000099</v>
      </c>
      <c r="D988" s="6" t="s">
        <v>6208</v>
      </c>
    </row>
    <row r="989" spans="1:4" x14ac:dyDescent="0.25">
      <c r="A989" s="7" t="s">
        <v>6180</v>
      </c>
      <c r="B989" s="8" t="s">
        <v>6181</v>
      </c>
      <c r="C989" s="8">
        <v>0.98700000000000099</v>
      </c>
      <c r="D989" s="16" t="s">
        <v>6208</v>
      </c>
    </row>
    <row r="990" spans="1:4" x14ac:dyDescent="0.25">
      <c r="A990" s="4" t="s">
        <v>6182</v>
      </c>
      <c r="B990" s="5" t="s">
        <v>6183</v>
      </c>
      <c r="C990" s="5">
        <v>0.98800000000000099</v>
      </c>
      <c r="D990" s="6" t="s">
        <v>6208</v>
      </c>
    </row>
    <row r="991" spans="1:4" x14ac:dyDescent="0.25">
      <c r="A991" s="7" t="s">
        <v>6184</v>
      </c>
      <c r="B991" s="8" t="s">
        <v>6185</v>
      </c>
      <c r="C991" s="8">
        <v>0.98900000000000099</v>
      </c>
      <c r="D991" s="16" t="s">
        <v>6208</v>
      </c>
    </row>
    <row r="992" spans="1:4" x14ac:dyDescent="0.25">
      <c r="A992" s="4" t="s">
        <v>6186</v>
      </c>
      <c r="B992" s="5" t="s">
        <v>6187</v>
      </c>
      <c r="C992" s="5">
        <v>0.99000000000000099</v>
      </c>
      <c r="D992" s="6" t="s">
        <v>6208</v>
      </c>
    </row>
    <row r="993" spans="1:4" x14ac:dyDescent="0.25">
      <c r="A993" s="7" t="s">
        <v>6188</v>
      </c>
      <c r="B993" s="8" t="s">
        <v>6189</v>
      </c>
      <c r="C993" s="8">
        <v>0.99100000000000099</v>
      </c>
      <c r="D993" s="16" t="s">
        <v>6208</v>
      </c>
    </row>
    <row r="994" spans="1:4" x14ac:dyDescent="0.25">
      <c r="A994" s="4" t="s">
        <v>6190</v>
      </c>
      <c r="B994" s="5" t="s">
        <v>6191</v>
      </c>
      <c r="C994" s="5">
        <v>0.99200000000000099</v>
      </c>
      <c r="D994" s="6" t="s">
        <v>6208</v>
      </c>
    </row>
    <row r="995" spans="1:4" x14ac:dyDescent="0.25">
      <c r="A995" s="7" t="s">
        <v>6192</v>
      </c>
      <c r="B995" s="8" t="s">
        <v>6193</v>
      </c>
      <c r="C995" s="8">
        <v>0.99300000000000099</v>
      </c>
      <c r="D995" s="16" t="s">
        <v>6208</v>
      </c>
    </row>
    <row r="996" spans="1:4" x14ac:dyDescent="0.25">
      <c r="A996" s="4" t="s">
        <v>6194</v>
      </c>
      <c r="B996" s="5" t="s">
        <v>6195</v>
      </c>
      <c r="C996" s="5">
        <v>0.99400000000000099</v>
      </c>
      <c r="D996" s="6" t="s">
        <v>6208</v>
      </c>
    </row>
    <row r="997" spans="1:4" x14ac:dyDescent="0.25">
      <c r="A997" s="7" t="s">
        <v>6196</v>
      </c>
      <c r="B997" s="8" t="s">
        <v>6197</v>
      </c>
      <c r="C997" s="8">
        <v>0.99500000000000099</v>
      </c>
      <c r="D997" s="16" t="s">
        <v>6208</v>
      </c>
    </row>
    <row r="998" spans="1:4" x14ac:dyDescent="0.25">
      <c r="A998" s="4" t="s">
        <v>6198</v>
      </c>
      <c r="B998" s="5" t="s">
        <v>6199</v>
      </c>
      <c r="C998" s="5">
        <v>0.996000000000001</v>
      </c>
      <c r="D998" s="6" t="s">
        <v>6208</v>
      </c>
    </row>
    <row r="999" spans="1:4" x14ac:dyDescent="0.25">
      <c r="A999" s="7" t="s">
        <v>6200</v>
      </c>
      <c r="B999" s="8" t="s">
        <v>6201</v>
      </c>
      <c r="C999" s="8">
        <v>0.997000000000001</v>
      </c>
      <c r="D999" s="16" t="s">
        <v>6208</v>
      </c>
    </row>
    <row r="1000" spans="1:4" x14ac:dyDescent="0.25">
      <c r="A1000" s="4" t="s">
        <v>6202</v>
      </c>
      <c r="B1000" s="5" t="s">
        <v>6203</v>
      </c>
      <c r="C1000" s="5">
        <v>0.998000000000001</v>
      </c>
      <c r="D1000" s="6" t="s">
        <v>6208</v>
      </c>
    </row>
    <row r="1001" spans="1:4" x14ac:dyDescent="0.25">
      <c r="A1001" s="7" t="s">
        <v>6204</v>
      </c>
      <c r="B1001" s="8" t="s">
        <v>6205</v>
      </c>
      <c r="C1001" s="8">
        <v>0.999000000000001</v>
      </c>
      <c r="D1001" s="16" t="s">
        <v>6208</v>
      </c>
    </row>
    <row r="1002" spans="1:4" x14ac:dyDescent="0.25">
      <c r="A1002" s="9" t="s">
        <v>6206</v>
      </c>
      <c r="B1002" s="10" t="s">
        <v>6207</v>
      </c>
      <c r="C1002" s="10">
        <v>1</v>
      </c>
      <c r="D1002" s="11" t="s">
        <v>6208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 Sheet</vt:lpstr>
      <vt:lpstr>Risk vs Contingency</vt:lpstr>
      <vt:lpstr>Pricing Calculator</vt:lpstr>
      <vt:lpstr>Product List table</vt:lpstr>
      <vt:lpstr>Baseline Rate Card</vt:lpstr>
      <vt:lpstr>Experience Multiplier</vt:lpstr>
      <vt:lpstr>Location Multiplier</vt:lpstr>
      <vt:lpstr>Currency Exchange</vt:lpstr>
      <vt:lpstr>Monthly Rate Card</vt:lpstr>
      <vt:lpstr>Business Type Multiplier</vt:lpstr>
      <vt:lpstr>Blended Rate</vt:lpstr>
      <vt:lpstr>Discount Rates</vt:lpstr>
      <vt:lpstr>Scope Complexity</vt:lpstr>
      <vt:lpstr>SLA</vt:lpstr>
      <vt:lpstr>Risk Buffer</vt:lpstr>
      <vt:lpstr>Contingency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2025-11-28T11:10:15Z</dcterms:created>
  <dcterms:modified xsi:type="dcterms:W3CDTF">2025-12-01T13:20:52Z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2025-11-28T11:10:51Z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9822ae19-ea5b-44d0-aa54-5ad423e04cf4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